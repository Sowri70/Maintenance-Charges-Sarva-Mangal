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Sarva Mangal\Financials\"/>
    </mc:Choice>
  </mc:AlternateContent>
  <xr:revisionPtr revIDLastSave="0" documentId="13_ncr:1_{28BFF7C2-7A2F-44A9-BFD8-7E449896639A}" xr6:coauthVersionLast="47" xr6:coauthVersionMax="47" xr10:uidLastSave="{00000000-0000-0000-0000-000000000000}"/>
  <bookViews>
    <workbookView xWindow="225" yWindow="15" windowWidth="28575" windowHeight="15465" tabRatio="500" activeTab="3" xr2:uid="{00000000-000D-0000-FFFF-FFFF00000000}"/>
  </bookViews>
  <sheets>
    <sheet name="Owner_Master" sheetId="2" r:id="rId1"/>
    <sheet name="Transaction_Log" sheetId="3" r:id="rId2"/>
    <sheet name="DashBoard" sheetId="4" state="hidden" r:id="rId3"/>
    <sheet name="Owner_Summary" sheetId="5" r:id="rId4"/>
    <sheet name="Analysis" sheetId="6" state="hidden" r:id="rId5"/>
    <sheet name="__tracelight_scratchpad__" sheetId="7" state="veryHidden" r:id="rId6"/>
  </sheets>
  <definedNames>
    <definedName name="DashBoard">DashBoard!$A$1:$E$53</definedName>
    <definedName name="Payments">Transaction_Log!$A$1:$D$118</definedName>
  </definedNames>
  <calcPr calcId="191029" iterateDelta="1E-4"/>
  <pivotCaches>
    <pivotCache cacheId="0" r:id="rId7"/>
  </pivotCaches>
</workbook>
</file>

<file path=xl/calcChain.xml><?xml version="1.0" encoding="utf-8"?>
<calcChain xmlns="http://schemas.openxmlformats.org/spreadsheetml/2006/main">
  <c r="E55" i="6" l="1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I29" i="6"/>
  <c r="E29" i="6"/>
  <c r="E28" i="6"/>
  <c r="E27" i="6"/>
  <c r="E26" i="6"/>
  <c r="E24" i="6"/>
  <c r="E23" i="6"/>
  <c r="E22" i="6"/>
  <c r="E21" i="6"/>
  <c r="E20" i="6"/>
  <c r="E19" i="6"/>
  <c r="E18" i="6"/>
  <c r="E17" i="6"/>
  <c r="E16" i="6"/>
  <c r="E15" i="6"/>
  <c r="H14" i="6"/>
  <c r="E14" i="6"/>
  <c r="E13" i="6"/>
  <c r="E12" i="6"/>
  <c r="E11" i="6"/>
  <c r="E10" i="6"/>
  <c r="E9" i="6"/>
  <c r="E8" i="6"/>
  <c r="E7" i="6"/>
  <c r="E6" i="6"/>
  <c r="E5" i="6"/>
  <c r="E4" i="6"/>
  <c r="H3" i="6"/>
  <c r="H8" i="6" s="1"/>
  <c r="H16" i="6" s="1"/>
  <c r="N54" i="5"/>
  <c r="M54" i="5"/>
  <c r="L54" i="5"/>
  <c r="K54" i="5"/>
  <c r="J54" i="5"/>
  <c r="I54" i="5"/>
  <c r="H54" i="5"/>
  <c r="G54" i="5"/>
  <c r="F54" i="5"/>
  <c r="E54" i="5"/>
  <c r="D54" i="5"/>
  <c r="O54" i="5" s="1"/>
  <c r="C54" i="5"/>
  <c r="B54" i="5"/>
  <c r="N53" i="5"/>
  <c r="M53" i="5"/>
  <c r="L53" i="5"/>
  <c r="K53" i="5"/>
  <c r="J53" i="5"/>
  <c r="I53" i="5"/>
  <c r="H53" i="5"/>
  <c r="G53" i="5"/>
  <c r="F53" i="5"/>
  <c r="E53" i="5"/>
  <c r="D53" i="5"/>
  <c r="C53" i="5"/>
  <c r="O53" i="5" s="1"/>
  <c r="B53" i="5"/>
  <c r="N52" i="5"/>
  <c r="M52" i="5"/>
  <c r="L52" i="5"/>
  <c r="K52" i="5"/>
  <c r="J52" i="5"/>
  <c r="I52" i="5"/>
  <c r="H52" i="5"/>
  <c r="G52" i="5"/>
  <c r="F52" i="5"/>
  <c r="E52" i="5"/>
  <c r="D52" i="5"/>
  <c r="C52" i="5"/>
  <c r="O52" i="5" s="1"/>
  <c r="B52" i="5"/>
  <c r="N51" i="5"/>
  <c r="M51" i="5"/>
  <c r="L51" i="5"/>
  <c r="K51" i="5"/>
  <c r="J51" i="5"/>
  <c r="I51" i="5"/>
  <c r="H51" i="5"/>
  <c r="G51" i="5"/>
  <c r="F51" i="5"/>
  <c r="E51" i="5"/>
  <c r="D51" i="5"/>
  <c r="C51" i="5"/>
  <c r="O51" i="5" s="1"/>
  <c r="B51" i="5"/>
  <c r="N50" i="5"/>
  <c r="M50" i="5"/>
  <c r="L50" i="5"/>
  <c r="K50" i="5"/>
  <c r="J50" i="5"/>
  <c r="I50" i="5"/>
  <c r="H50" i="5"/>
  <c r="G50" i="5"/>
  <c r="F50" i="5"/>
  <c r="E50" i="5"/>
  <c r="D50" i="5"/>
  <c r="C50" i="5"/>
  <c r="O50" i="5" s="1"/>
  <c r="B50" i="5"/>
  <c r="N49" i="5"/>
  <c r="M49" i="5"/>
  <c r="L49" i="5"/>
  <c r="K49" i="5"/>
  <c r="J49" i="5"/>
  <c r="I49" i="5"/>
  <c r="H49" i="5"/>
  <c r="G49" i="5"/>
  <c r="O49" i="5" s="1"/>
  <c r="F49" i="5"/>
  <c r="E49" i="5"/>
  <c r="D49" i="5"/>
  <c r="C49" i="5"/>
  <c r="B49" i="5"/>
  <c r="N48" i="5"/>
  <c r="M48" i="5"/>
  <c r="L48" i="5"/>
  <c r="K48" i="5"/>
  <c r="J48" i="5"/>
  <c r="I48" i="5"/>
  <c r="H48" i="5"/>
  <c r="G48" i="5"/>
  <c r="F48" i="5"/>
  <c r="E48" i="5"/>
  <c r="D48" i="5"/>
  <c r="C48" i="5"/>
  <c r="O48" i="5" s="1"/>
  <c r="B48" i="5"/>
  <c r="N47" i="5"/>
  <c r="M47" i="5"/>
  <c r="L47" i="5"/>
  <c r="K47" i="5"/>
  <c r="J47" i="5"/>
  <c r="I47" i="5"/>
  <c r="H47" i="5"/>
  <c r="G47" i="5"/>
  <c r="F47" i="5"/>
  <c r="E47" i="5"/>
  <c r="O47" i="5" s="1"/>
  <c r="D47" i="5"/>
  <c r="C47" i="5"/>
  <c r="B47" i="5"/>
  <c r="N46" i="5"/>
  <c r="M46" i="5"/>
  <c r="L46" i="5"/>
  <c r="K46" i="5"/>
  <c r="J46" i="5"/>
  <c r="I46" i="5"/>
  <c r="H46" i="5"/>
  <c r="G46" i="5"/>
  <c r="F46" i="5"/>
  <c r="E46" i="5"/>
  <c r="D46" i="5"/>
  <c r="O46" i="5" s="1"/>
  <c r="C46" i="5"/>
  <c r="B46" i="5"/>
  <c r="N45" i="5"/>
  <c r="M45" i="5"/>
  <c r="L45" i="5"/>
  <c r="K45" i="5"/>
  <c r="J45" i="5"/>
  <c r="I45" i="5"/>
  <c r="H45" i="5"/>
  <c r="G45" i="5"/>
  <c r="F45" i="5"/>
  <c r="E45" i="5"/>
  <c r="D45" i="5"/>
  <c r="C45" i="5"/>
  <c r="O45" i="5" s="1"/>
  <c r="B45" i="5"/>
  <c r="N44" i="5"/>
  <c r="M44" i="5"/>
  <c r="L44" i="5"/>
  <c r="K44" i="5"/>
  <c r="J44" i="5"/>
  <c r="I44" i="5"/>
  <c r="H44" i="5"/>
  <c r="G44" i="5"/>
  <c r="F44" i="5"/>
  <c r="E44" i="5"/>
  <c r="D44" i="5"/>
  <c r="C44" i="5"/>
  <c r="O44" i="5" s="1"/>
  <c r="B44" i="5"/>
  <c r="N43" i="5"/>
  <c r="M43" i="5"/>
  <c r="L43" i="5"/>
  <c r="K43" i="5"/>
  <c r="J43" i="5"/>
  <c r="I43" i="5"/>
  <c r="H43" i="5"/>
  <c r="G43" i="5"/>
  <c r="F43" i="5"/>
  <c r="E43" i="5"/>
  <c r="D43" i="5"/>
  <c r="C43" i="5"/>
  <c r="O43" i="5" s="1"/>
  <c r="B43" i="5"/>
  <c r="N42" i="5"/>
  <c r="M42" i="5"/>
  <c r="L42" i="5"/>
  <c r="K42" i="5"/>
  <c r="J42" i="5"/>
  <c r="I42" i="5"/>
  <c r="H42" i="5"/>
  <c r="G42" i="5"/>
  <c r="F42" i="5"/>
  <c r="E42" i="5"/>
  <c r="D42" i="5"/>
  <c r="C42" i="5"/>
  <c r="O42" i="5" s="1"/>
  <c r="B42" i="5"/>
  <c r="N41" i="5"/>
  <c r="M41" i="5"/>
  <c r="L41" i="5"/>
  <c r="K41" i="5"/>
  <c r="J41" i="5"/>
  <c r="I41" i="5"/>
  <c r="H41" i="5"/>
  <c r="G41" i="5"/>
  <c r="O41" i="5" s="1"/>
  <c r="F41" i="5"/>
  <c r="E41" i="5"/>
  <c r="D41" i="5"/>
  <c r="C41" i="5"/>
  <c r="B41" i="5"/>
  <c r="N40" i="5"/>
  <c r="M40" i="5"/>
  <c r="L40" i="5"/>
  <c r="K40" i="5"/>
  <c r="J40" i="5"/>
  <c r="I40" i="5"/>
  <c r="H40" i="5"/>
  <c r="G40" i="5"/>
  <c r="F40" i="5"/>
  <c r="E40" i="5"/>
  <c r="D40" i="5"/>
  <c r="C40" i="5"/>
  <c r="O40" i="5" s="1"/>
  <c r="B40" i="5"/>
  <c r="N39" i="5"/>
  <c r="M39" i="5"/>
  <c r="L39" i="5"/>
  <c r="K39" i="5"/>
  <c r="J39" i="5"/>
  <c r="I39" i="5"/>
  <c r="H39" i="5"/>
  <c r="G39" i="5"/>
  <c r="F39" i="5"/>
  <c r="E39" i="5"/>
  <c r="O39" i="5" s="1"/>
  <c r="D39" i="5"/>
  <c r="C39" i="5"/>
  <c r="B39" i="5"/>
  <c r="N38" i="5"/>
  <c r="M38" i="5"/>
  <c r="L38" i="5"/>
  <c r="K38" i="5"/>
  <c r="J38" i="5"/>
  <c r="I38" i="5"/>
  <c r="H38" i="5"/>
  <c r="G38" i="5"/>
  <c r="F38" i="5"/>
  <c r="E38" i="5"/>
  <c r="D38" i="5"/>
  <c r="O38" i="5" s="1"/>
  <c r="C38" i="5"/>
  <c r="B38" i="5"/>
  <c r="N37" i="5"/>
  <c r="M37" i="5"/>
  <c r="L37" i="5"/>
  <c r="K37" i="5"/>
  <c r="J37" i="5"/>
  <c r="I37" i="5"/>
  <c r="H37" i="5"/>
  <c r="G37" i="5"/>
  <c r="F37" i="5"/>
  <c r="E37" i="5"/>
  <c r="D37" i="5"/>
  <c r="C37" i="5"/>
  <c r="O37" i="5" s="1"/>
  <c r="B37" i="5"/>
  <c r="N36" i="5"/>
  <c r="M36" i="5"/>
  <c r="L36" i="5"/>
  <c r="K36" i="5"/>
  <c r="J36" i="5"/>
  <c r="I36" i="5"/>
  <c r="H36" i="5"/>
  <c r="G36" i="5"/>
  <c r="F36" i="5"/>
  <c r="E36" i="5"/>
  <c r="D36" i="5"/>
  <c r="C36" i="5"/>
  <c r="O36" i="5" s="1"/>
  <c r="B36" i="5"/>
  <c r="N35" i="5"/>
  <c r="M35" i="5"/>
  <c r="L35" i="5"/>
  <c r="K35" i="5"/>
  <c r="J35" i="5"/>
  <c r="I35" i="5"/>
  <c r="H35" i="5"/>
  <c r="G35" i="5"/>
  <c r="F35" i="5"/>
  <c r="E35" i="5"/>
  <c r="D35" i="5"/>
  <c r="C35" i="5"/>
  <c r="O35" i="5" s="1"/>
  <c r="B35" i="5"/>
  <c r="N34" i="5"/>
  <c r="M34" i="5"/>
  <c r="L34" i="5"/>
  <c r="K34" i="5"/>
  <c r="J34" i="5"/>
  <c r="I34" i="5"/>
  <c r="H34" i="5"/>
  <c r="G34" i="5"/>
  <c r="F34" i="5"/>
  <c r="E34" i="5"/>
  <c r="D34" i="5"/>
  <c r="C34" i="5"/>
  <c r="O34" i="5" s="1"/>
  <c r="B34" i="5"/>
  <c r="N33" i="5"/>
  <c r="M33" i="5"/>
  <c r="L33" i="5"/>
  <c r="K33" i="5"/>
  <c r="J33" i="5"/>
  <c r="I33" i="5"/>
  <c r="H33" i="5"/>
  <c r="G33" i="5"/>
  <c r="O33" i="5" s="1"/>
  <c r="F33" i="5"/>
  <c r="E33" i="5"/>
  <c r="D33" i="5"/>
  <c r="C33" i="5"/>
  <c r="B33" i="5"/>
  <c r="N32" i="5"/>
  <c r="M32" i="5"/>
  <c r="L32" i="5"/>
  <c r="K32" i="5"/>
  <c r="J32" i="5"/>
  <c r="I32" i="5"/>
  <c r="H32" i="5"/>
  <c r="G32" i="5"/>
  <c r="F32" i="5"/>
  <c r="E32" i="5"/>
  <c r="D32" i="5"/>
  <c r="C32" i="5"/>
  <c r="O32" i="5" s="1"/>
  <c r="B32" i="5"/>
  <c r="N31" i="5"/>
  <c r="M31" i="5"/>
  <c r="L31" i="5"/>
  <c r="K31" i="5"/>
  <c r="J31" i="5"/>
  <c r="I31" i="5"/>
  <c r="H31" i="5"/>
  <c r="G31" i="5"/>
  <c r="F31" i="5"/>
  <c r="E31" i="5"/>
  <c r="D31" i="5"/>
  <c r="C31" i="5"/>
  <c r="O31" i="5" s="1"/>
  <c r="B31" i="5"/>
  <c r="N30" i="5"/>
  <c r="M30" i="5"/>
  <c r="L30" i="5"/>
  <c r="K30" i="5"/>
  <c r="J30" i="5"/>
  <c r="I30" i="5"/>
  <c r="H30" i="5"/>
  <c r="G30" i="5"/>
  <c r="F30" i="5"/>
  <c r="E30" i="5"/>
  <c r="D30" i="5"/>
  <c r="O30" i="5" s="1"/>
  <c r="C30" i="5"/>
  <c r="B30" i="5"/>
  <c r="N29" i="5"/>
  <c r="M29" i="5"/>
  <c r="L29" i="5"/>
  <c r="K29" i="5"/>
  <c r="J29" i="5"/>
  <c r="I29" i="5"/>
  <c r="H29" i="5"/>
  <c r="G29" i="5"/>
  <c r="F29" i="5"/>
  <c r="E29" i="5"/>
  <c r="D29" i="5"/>
  <c r="C29" i="5"/>
  <c r="O29" i="5" s="1"/>
  <c r="B29" i="5"/>
  <c r="N28" i="5"/>
  <c r="M28" i="5"/>
  <c r="L28" i="5"/>
  <c r="K28" i="5"/>
  <c r="J28" i="5"/>
  <c r="I28" i="5"/>
  <c r="H28" i="5"/>
  <c r="G28" i="5"/>
  <c r="F28" i="5"/>
  <c r="E28" i="5"/>
  <c r="D28" i="5"/>
  <c r="C28" i="5"/>
  <c r="O28" i="5" s="1"/>
  <c r="B28" i="5"/>
  <c r="N27" i="5"/>
  <c r="M27" i="5"/>
  <c r="L27" i="5"/>
  <c r="K27" i="5"/>
  <c r="J27" i="5"/>
  <c r="I27" i="5"/>
  <c r="H27" i="5"/>
  <c r="G27" i="5"/>
  <c r="F27" i="5"/>
  <c r="E27" i="5"/>
  <c r="D27" i="5"/>
  <c r="C27" i="5"/>
  <c r="O27" i="5" s="1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O26" i="5" s="1"/>
  <c r="B26" i="5"/>
  <c r="N25" i="5"/>
  <c r="M25" i="5"/>
  <c r="L25" i="5"/>
  <c r="K25" i="5"/>
  <c r="J25" i="5"/>
  <c r="I25" i="5"/>
  <c r="H25" i="5"/>
  <c r="G25" i="5"/>
  <c r="O25" i="5" s="1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C24" i="5"/>
  <c r="O24" i="5" s="1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O23" i="5" s="1"/>
  <c r="B23" i="5"/>
  <c r="N22" i="5"/>
  <c r="M22" i="5"/>
  <c r="L22" i="5"/>
  <c r="K22" i="5"/>
  <c r="J22" i="5"/>
  <c r="I22" i="5"/>
  <c r="H22" i="5"/>
  <c r="G22" i="5"/>
  <c r="F22" i="5"/>
  <c r="E22" i="5"/>
  <c r="D22" i="5"/>
  <c r="O22" i="5" s="1"/>
  <c r="C22" i="5"/>
  <c r="B22" i="5"/>
  <c r="N21" i="5"/>
  <c r="M21" i="5"/>
  <c r="L21" i="5"/>
  <c r="K21" i="5"/>
  <c r="J21" i="5"/>
  <c r="I21" i="5"/>
  <c r="H21" i="5"/>
  <c r="G21" i="5"/>
  <c r="F21" i="5"/>
  <c r="E21" i="5"/>
  <c r="D21" i="5"/>
  <c r="C21" i="5"/>
  <c r="O21" i="5" s="1"/>
  <c r="B21" i="5"/>
  <c r="N20" i="5"/>
  <c r="M20" i="5"/>
  <c r="L20" i="5"/>
  <c r="K20" i="5"/>
  <c r="J20" i="5"/>
  <c r="I20" i="5"/>
  <c r="H20" i="5"/>
  <c r="G20" i="5"/>
  <c r="F20" i="5"/>
  <c r="E20" i="5"/>
  <c r="D20" i="5"/>
  <c r="C20" i="5"/>
  <c r="O20" i="5" s="1"/>
  <c r="B20" i="5"/>
  <c r="N19" i="5"/>
  <c r="M19" i="5"/>
  <c r="L19" i="5"/>
  <c r="K19" i="5"/>
  <c r="J19" i="5"/>
  <c r="I19" i="5"/>
  <c r="H19" i="5"/>
  <c r="G19" i="5"/>
  <c r="F19" i="5"/>
  <c r="E19" i="5"/>
  <c r="D19" i="5"/>
  <c r="C19" i="5"/>
  <c r="O19" i="5" s="1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O18" i="5" s="1"/>
  <c r="B18" i="5"/>
  <c r="N17" i="5"/>
  <c r="M17" i="5"/>
  <c r="L17" i="5"/>
  <c r="K17" i="5"/>
  <c r="J17" i="5"/>
  <c r="I17" i="5"/>
  <c r="H17" i="5"/>
  <c r="G17" i="5"/>
  <c r="O17" i="5" s="1"/>
  <c r="F17" i="5"/>
  <c r="E17" i="5"/>
  <c r="D17" i="5"/>
  <c r="C17" i="5"/>
  <c r="B17" i="5"/>
  <c r="N16" i="5"/>
  <c r="M16" i="5"/>
  <c r="L16" i="5"/>
  <c r="K16" i="5"/>
  <c r="J16" i="5"/>
  <c r="I16" i="5"/>
  <c r="H16" i="5"/>
  <c r="G16" i="5"/>
  <c r="F16" i="5"/>
  <c r="E16" i="5"/>
  <c r="D16" i="5"/>
  <c r="C16" i="5"/>
  <c r="O16" i="5" s="1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O15" i="5" s="1"/>
  <c r="B15" i="5"/>
  <c r="N14" i="5"/>
  <c r="M14" i="5"/>
  <c r="L14" i="5"/>
  <c r="K14" i="5"/>
  <c r="J14" i="5"/>
  <c r="I14" i="5"/>
  <c r="H14" i="5"/>
  <c r="G14" i="5"/>
  <c r="F14" i="5"/>
  <c r="E14" i="5"/>
  <c r="D14" i="5"/>
  <c r="O14" i="5" s="1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O13" i="5" s="1"/>
  <c r="B13" i="5"/>
  <c r="N12" i="5"/>
  <c r="M12" i="5"/>
  <c r="L12" i="5"/>
  <c r="K12" i="5"/>
  <c r="J12" i="5"/>
  <c r="I12" i="5"/>
  <c r="H12" i="5"/>
  <c r="G12" i="5"/>
  <c r="F12" i="5"/>
  <c r="E12" i="5"/>
  <c r="D12" i="5"/>
  <c r="C12" i="5"/>
  <c r="O12" i="5" s="1"/>
  <c r="B12" i="5"/>
  <c r="N11" i="5"/>
  <c r="M11" i="5"/>
  <c r="L11" i="5"/>
  <c r="K11" i="5"/>
  <c r="J11" i="5"/>
  <c r="I11" i="5"/>
  <c r="H11" i="5"/>
  <c r="G11" i="5"/>
  <c r="F11" i="5"/>
  <c r="E11" i="5"/>
  <c r="D11" i="5"/>
  <c r="C11" i="5"/>
  <c r="O11" i="5" s="1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O10" i="5" s="1"/>
  <c r="B10" i="5"/>
  <c r="N9" i="5"/>
  <c r="M9" i="5"/>
  <c r="L9" i="5"/>
  <c r="K9" i="5"/>
  <c r="J9" i="5"/>
  <c r="I9" i="5"/>
  <c r="H9" i="5"/>
  <c r="G9" i="5"/>
  <c r="O9" i="5" s="1"/>
  <c r="F9" i="5"/>
  <c r="E9" i="5"/>
  <c r="D9" i="5"/>
  <c r="C9" i="5"/>
  <c r="B9" i="5"/>
  <c r="N8" i="5"/>
  <c r="N55" i="5" s="1"/>
  <c r="M8" i="5"/>
  <c r="L8" i="5"/>
  <c r="K8" i="5"/>
  <c r="J8" i="5"/>
  <c r="I8" i="5"/>
  <c r="H8" i="5"/>
  <c r="G8" i="5"/>
  <c r="F8" i="5"/>
  <c r="F55" i="5" s="1"/>
  <c r="E8" i="5"/>
  <c r="D8" i="5"/>
  <c r="C8" i="5"/>
  <c r="O8" i="5" s="1"/>
  <c r="N7" i="5"/>
  <c r="M7" i="5"/>
  <c r="L7" i="5"/>
  <c r="K7" i="5"/>
  <c r="J7" i="5"/>
  <c r="I7" i="5"/>
  <c r="H7" i="5"/>
  <c r="G7" i="5"/>
  <c r="F7" i="5"/>
  <c r="E7" i="5"/>
  <c r="D7" i="5"/>
  <c r="O7" i="5" s="1"/>
  <c r="C7" i="5"/>
  <c r="B7" i="5"/>
  <c r="N6" i="5"/>
  <c r="M6" i="5"/>
  <c r="L6" i="5"/>
  <c r="K6" i="5"/>
  <c r="J6" i="5"/>
  <c r="I6" i="5"/>
  <c r="H6" i="5"/>
  <c r="G6" i="5"/>
  <c r="F6" i="5"/>
  <c r="E6" i="5"/>
  <c r="D6" i="5"/>
  <c r="C6" i="5"/>
  <c r="O6" i="5" s="1"/>
  <c r="B6" i="5"/>
  <c r="N5" i="5"/>
  <c r="M5" i="5"/>
  <c r="L5" i="5"/>
  <c r="K5" i="5"/>
  <c r="J5" i="5"/>
  <c r="I5" i="5"/>
  <c r="H5" i="5"/>
  <c r="G5" i="5"/>
  <c r="F5" i="5"/>
  <c r="E5" i="5"/>
  <c r="D5" i="5"/>
  <c r="C5" i="5"/>
  <c r="O5" i="5" s="1"/>
  <c r="B5" i="5"/>
  <c r="N4" i="5"/>
  <c r="M4" i="5"/>
  <c r="L4" i="5"/>
  <c r="K4" i="5"/>
  <c r="J4" i="5"/>
  <c r="I4" i="5"/>
  <c r="H4" i="5"/>
  <c r="G4" i="5"/>
  <c r="F4" i="5"/>
  <c r="E4" i="5"/>
  <c r="D4" i="5"/>
  <c r="C4" i="5"/>
  <c r="O4" i="5" s="1"/>
  <c r="B4" i="5"/>
  <c r="N3" i="5"/>
  <c r="M3" i="5"/>
  <c r="M55" i="5" s="1"/>
  <c r="L3" i="5"/>
  <c r="L55" i="5" s="1"/>
  <c r="K3" i="5"/>
  <c r="K55" i="5" s="1"/>
  <c r="J3" i="5"/>
  <c r="J55" i="5" s="1"/>
  <c r="I3" i="5"/>
  <c r="I55" i="5" s="1"/>
  <c r="H3" i="5"/>
  <c r="H55" i="5" s="1"/>
  <c r="G3" i="5"/>
  <c r="G55" i="5" s="1"/>
  <c r="F3" i="5"/>
  <c r="E3" i="5"/>
  <c r="E55" i="5" s="1"/>
  <c r="D3" i="5"/>
  <c r="D55" i="5" s="1"/>
  <c r="C3" i="5"/>
  <c r="O3" i="5" s="1"/>
  <c r="B3" i="5"/>
  <c r="C53" i="4"/>
  <c r="B53" i="4"/>
  <c r="D53" i="4" s="1"/>
  <c r="C52" i="4"/>
  <c r="B52" i="4"/>
  <c r="D52" i="4" s="1"/>
  <c r="C51" i="4"/>
  <c r="B51" i="4"/>
  <c r="D51" i="4" s="1"/>
  <c r="C50" i="4"/>
  <c r="B50" i="4"/>
  <c r="D50" i="4" s="1"/>
  <c r="D49" i="4"/>
  <c r="E49" i="4" s="1" a="1"/>
  <c r="E49" i="4" s="1"/>
  <c r="C49" i="4"/>
  <c r="B49" i="4"/>
  <c r="D48" i="4"/>
  <c r="P49" i="5" s="1"/>
  <c r="C48" i="4"/>
  <c r="B48" i="4"/>
  <c r="C47" i="4"/>
  <c r="B47" i="4"/>
  <c r="D47" i="4" s="1"/>
  <c r="C46" i="4"/>
  <c r="D46" i="4" s="1"/>
  <c r="B46" i="4"/>
  <c r="C45" i="4"/>
  <c r="B45" i="4"/>
  <c r="D45" i="4" s="1"/>
  <c r="C44" i="4"/>
  <c r="B44" i="4"/>
  <c r="D44" i="4" s="1"/>
  <c r="C43" i="4"/>
  <c r="B43" i="4"/>
  <c r="D43" i="4" s="1"/>
  <c r="C42" i="4"/>
  <c r="B42" i="4"/>
  <c r="D42" i="4" s="1"/>
  <c r="D41" i="4"/>
  <c r="E41" i="4" s="1" a="1"/>
  <c r="E41" i="4" s="1"/>
  <c r="C41" i="4"/>
  <c r="B41" i="4"/>
  <c r="D40" i="4"/>
  <c r="P41" i="5" s="1"/>
  <c r="C40" i="4"/>
  <c r="B40" i="4"/>
  <c r="C39" i="4"/>
  <c r="B39" i="4"/>
  <c r="D39" i="4" s="1"/>
  <c r="C38" i="4"/>
  <c r="D38" i="4" s="1"/>
  <c r="B38" i="4"/>
  <c r="C37" i="4"/>
  <c r="D37" i="4" s="1"/>
  <c r="B37" i="4"/>
  <c r="C36" i="4"/>
  <c r="B36" i="4"/>
  <c r="D36" i="4" s="1"/>
  <c r="C35" i="4"/>
  <c r="B35" i="4"/>
  <c r="D35" i="4" s="1"/>
  <c r="C34" i="4"/>
  <c r="B34" i="4"/>
  <c r="D34" i="4" s="1"/>
  <c r="D33" i="4"/>
  <c r="E33" i="4" s="1" a="1"/>
  <c r="E33" i="4" s="1"/>
  <c r="C33" i="4"/>
  <c r="B33" i="4"/>
  <c r="D32" i="4"/>
  <c r="P33" i="5" s="1"/>
  <c r="C32" i="4"/>
  <c r="B32" i="4"/>
  <c r="C31" i="4"/>
  <c r="B31" i="4"/>
  <c r="D31" i="4" s="1"/>
  <c r="C30" i="4"/>
  <c r="D30" i="4" s="1"/>
  <c r="B30" i="4"/>
  <c r="C29" i="4"/>
  <c r="D29" i="4" s="1"/>
  <c r="B29" i="4"/>
  <c r="C28" i="4"/>
  <c r="B28" i="4"/>
  <c r="D28" i="4" s="1"/>
  <c r="C27" i="4"/>
  <c r="B27" i="4"/>
  <c r="D27" i="4" s="1"/>
  <c r="C26" i="4"/>
  <c r="B26" i="4"/>
  <c r="D26" i="4" s="1"/>
  <c r="D25" i="4"/>
  <c r="E25" i="4" s="1" a="1"/>
  <c r="E25" i="4" s="1"/>
  <c r="C25" i="4"/>
  <c r="B25" i="4"/>
  <c r="D24" i="4"/>
  <c r="P25" i="5" s="1"/>
  <c r="C24" i="4"/>
  <c r="B24" i="4"/>
  <c r="C23" i="4"/>
  <c r="B23" i="4"/>
  <c r="D23" i="4" s="1"/>
  <c r="C22" i="4"/>
  <c r="D22" i="4" s="1"/>
  <c r="B22" i="4"/>
  <c r="C21" i="4"/>
  <c r="B21" i="4"/>
  <c r="D21" i="4" s="1"/>
  <c r="C20" i="4"/>
  <c r="B20" i="4"/>
  <c r="D20" i="4" s="1"/>
  <c r="C19" i="4"/>
  <c r="B19" i="4"/>
  <c r="D19" i="4" s="1"/>
  <c r="C18" i="4"/>
  <c r="B18" i="4"/>
  <c r="D18" i="4" s="1"/>
  <c r="D17" i="4"/>
  <c r="E17" i="4" s="1" a="1"/>
  <c r="E17" i="4" s="1"/>
  <c r="C17" i="4"/>
  <c r="B17" i="4"/>
  <c r="D16" i="4"/>
  <c r="P17" i="5" s="1"/>
  <c r="C16" i="4"/>
  <c r="B16" i="4"/>
  <c r="C15" i="4"/>
  <c r="B15" i="4"/>
  <c r="D15" i="4" s="1"/>
  <c r="C14" i="4"/>
  <c r="C56" i="4" s="1"/>
  <c r="B14" i="4"/>
  <c r="C13" i="4"/>
  <c r="D13" i="4" s="1"/>
  <c r="B13" i="4"/>
  <c r="C12" i="4"/>
  <c r="B12" i="4"/>
  <c r="D12" i="4" s="1"/>
  <c r="C11" i="4"/>
  <c r="B11" i="4"/>
  <c r="D11" i="4" s="1"/>
  <c r="C10" i="4"/>
  <c r="B10" i="4"/>
  <c r="D10" i="4" s="1"/>
  <c r="D9" i="4"/>
  <c r="E9" i="4" s="1" a="1"/>
  <c r="E9" i="4" s="1"/>
  <c r="C9" i="4"/>
  <c r="B9" i="4"/>
  <c r="C8" i="4"/>
  <c r="B8" i="4"/>
  <c r="D8" i="4" s="1"/>
  <c r="C7" i="4"/>
  <c r="B7" i="4"/>
  <c r="D7" i="4" s="1"/>
  <c r="J6" i="4"/>
  <c r="C6" i="4"/>
  <c r="B6" i="4"/>
  <c r="D6" i="4" s="1"/>
  <c r="C5" i="4"/>
  <c r="B5" i="4"/>
  <c r="D5" i="4" s="1"/>
  <c r="C4" i="4"/>
  <c r="D4" i="4" s="1"/>
  <c r="B4" i="4"/>
  <c r="J3" i="4"/>
  <c r="J4" i="4" s="1"/>
  <c r="J8" i="4" s="1"/>
  <c r="C3" i="4"/>
  <c r="B3" i="4"/>
  <c r="D3" i="4" s="1"/>
  <c r="J2" i="4"/>
  <c r="D2" i="4"/>
  <c r="E2" i="4" s="1" a="1"/>
  <c r="E2" i="4" s="1"/>
  <c r="C2" i="4"/>
  <c r="B2" i="4"/>
  <c r="B56" i="4" s="1"/>
  <c r="C13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55" i="2"/>
  <c r="P8" i="5" l="1"/>
  <c r="E7" i="4" a="1"/>
  <c r="E7" i="4" s="1"/>
  <c r="E29" i="4" a="1"/>
  <c r="E29" i="4" s="1"/>
  <c r="P30" i="5"/>
  <c r="O55" i="5"/>
  <c r="E3" i="4" a="1"/>
  <c r="E3" i="4" s="1"/>
  <c r="P4" i="5"/>
  <c r="P5" i="5"/>
  <c r="E4" i="4" a="1"/>
  <c r="E4" i="4" s="1"/>
  <c r="P9" i="5"/>
  <c r="E8" i="4" a="1"/>
  <c r="E8" i="4" s="1"/>
  <c r="P23" i="5"/>
  <c r="E22" i="4" a="1"/>
  <c r="E22" i="4" s="1"/>
  <c r="P6" i="5"/>
  <c r="E5" i="4" a="1"/>
  <c r="E5" i="4" s="1"/>
  <c r="E12" i="4" a="1"/>
  <c r="E12" i="4" s="1"/>
  <c r="P13" i="5"/>
  <c r="P20" i="5"/>
  <c r="E19" i="4" a="1"/>
  <c r="E19" i="4" s="1"/>
  <c r="P24" i="5"/>
  <c r="E23" i="4" a="1"/>
  <c r="E23" i="4" s="1"/>
  <c r="P27" i="5"/>
  <c r="E26" i="4" a="1"/>
  <c r="E26" i="4" s="1"/>
  <c r="E44" i="4" a="1"/>
  <c r="E44" i="4" s="1"/>
  <c r="P45" i="5"/>
  <c r="P52" i="5"/>
  <c r="E51" i="4" a="1"/>
  <c r="E51" i="4" s="1"/>
  <c r="P31" i="5"/>
  <c r="E30" i="4" a="1"/>
  <c r="E30" i="4" s="1"/>
  <c r="E37" i="4" a="1"/>
  <c r="E37" i="4" s="1"/>
  <c r="P38" i="5"/>
  <c r="E6" i="4" a="1"/>
  <c r="E6" i="4" s="1"/>
  <c r="P7" i="5"/>
  <c r="E20" i="4" a="1"/>
  <c r="E20" i="4" s="1"/>
  <c r="P21" i="5"/>
  <c r="P28" i="5"/>
  <c r="E27" i="4" a="1"/>
  <c r="E27" i="4" s="1"/>
  <c r="P32" i="5"/>
  <c r="E31" i="4" a="1"/>
  <c r="E31" i="4" s="1"/>
  <c r="P35" i="5"/>
  <c r="E34" i="4" a="1"/>
  <c r="E34" i="4" s="1"/>
  <c r="E45" i="4" a="1"/>
  <c r="E45" i="4" s="1"/>
  <c r="P46" i="5"/>
  <c r="E52" i="4" a="1"/>
  <c r="E52" i="4" s="1"/>
  <c r="P53" i="5"/>
  <c r="E13" i="4" a="1"/>
  <c r="E13" i="4" s="1"/>
  <c r="P14" i="5"/>
  <c r="P39" i="5"/>
  <c r="E38" i="4" a="1"/>
  <c r="E38" i="4" s="1"/>
  <c r="P11" i="5"/>
  <c r="E10" i="4" a="1"/>
  <c r="E10" i="4" s="1"/>
  <c r="E21" i="4" a="1"/>
  <c r="E21" i="4" s="1"/>
  <c r="P22" i="5"/>
  <c r="E28" i="4" a="1"/>
  <c r="E28" i="4" s="1"/>
  <c r="P29" i="5"/>
  <c r="P36" i="5"/>
  <c r="E35" i="4" a="1"/>
  <c r="E35" i="4" s="1"/>
  <c r="P40" i="5"/>
  <c r="E39" i="4" a="1"/>
  <c r="E39" i="4" s="1"/>
  <c r="P43" i="5"/>
  <c r="E42" i="4" a="1"/>
  <c r="E42" i="4" s="1"/>
  <c r="E53" i="4" a="1"/>
  <c r="E53" i="4" s="1"/>
  <c r="P54" i="5"/>
  <c r="P47" i="5"/>
  <c r="E46" i="4" a="1"/>
  <c r="E46" i="4" s="1"/>
  <c r="P12" i="5"/>
  <c r="E11" i="4" a="1"/>
  <c r="E11" i="4" s="1"/>
  <c r="P16" i="5"/>
  <c r="E15" i="4" a="1"/>
  <c r="E15" i="4" s="1"/>
  <c r="P19" i="5"/>
  <c r="E18" i="4" a="1"/>
  <c r="E18" i="4" s="1"/>
  <c r="E36" i="4" a="1"/>
  <c r="E36" i="4" s="1"/>
  <c r="P37" i="5"/>
  <c r="P44" i="5"/>
  <c r="E43" i="4" a="1"/>
  <c r="E43" i="4" s="1"/>
  <c r="P48" i="5"/>
  <c r="H29" i="6"/>
  <c r="E47" i="4" a="1"/>
  <c r="E47" i="4" s="1"/>
  <c r="P51" i="5"/>
  <c r="E50" i="4" a="1"/>
  <c r="E50" i="4" s="1"/>
  <c r="P34" i="5"/>
  <c r="P42" i="5"/>
  <c r="P50" i="5"/>
  <c r="E16" i="4" a="1"/>
  <c r="E16" i="4" s="1"/>
  <c r="E24" i="4" a="1"/>
  <c r="E24" i="4" s="1"/>
  <c r="E32" i="4" a="1"/>
  <c r="E32" i="4" s="1"/>
  <c r="E40" i="4" a="1"/>
  <c r="E40" i="4" s="1"/>
  <c r="E48" i="4" a="1"/>
  <c r="E48" i="4" s="1"/>
  <c r="C55" i="5"/>
  <c r="P3" i="5"/>
  <c r="P10" i="5"/>
  <c r="P18" i="5"/>
  <c r="D14" i="4"/>
  <c r="D56" i="4" s="1"/>
  <c r="P26" i="5"/>
  <c r="P15" i="5" l="1"/>
  <c r="P55" i="5" s="1"/>
  <c r="E14" i="4" a="1"/>
  <c r="E14" i="4" s="1"/>
</calcChain>
</file>

<file path=xl/sharedStrings.xml><?xml version="1.0" encoding="utf-8"?>
<sst xmlns="http://schemas.openxmlformats.org/spreadsheetml/2006/main" count="435" uniqueCount="147">
  <si>
    <t>Villa No</t>
  </si>
  <si>
    <t>Owner Name</t>
  </si>
  <si>
    <t>Monthly Rate</t>
  </si>
  <si>
    <t>Opening Balance (as of Jan-01-2026)</t>
  </si>
  <si>
    <t>Months Elapsed</t>
  </si>
  <si>
    <t>D 6</t>
  </si>
  <si>
    <t xml:space="preserve">Balamurugan </t>
  </si>
  <si>
    <t>C 10</t>
  </si>
  <si>
    <t>R.Chetan Kumar</t>
  </si>
  <si>
    <t>C 14</t>
  </si>
  <si>
    <t>Latish Babu</t>
  </si>
  <si>
    <t>C 18 - 19</t>
  </si>
  <si>
    <t xml:space="preserve">Malathy Sundaram </t>
  </si>
  <si>
    <t>B 20 - 21</t>
  </si>
  <si>
    <t>M .Kalaivani Chandramohan</t>
  </si>
  <si>
    <t>B 23</t>
  </si>
  <si>
    <t>S.V. Sanjeev Kumar</t>
  </si>
  <si>
    <t>B 27</t>
  </si>
  <si>
    <t xml:space="preserve">S.Rajeswari </t>
  </si>
  <si>
    <t>A 37</t>
  </si>
  <si>
    <t xml:space="preserve">Bhagath </t>
  </si>
  <si>
    <t>B 39</t>
  </si>
  <si>
    <t>G.Dachinamoorthy &amp; Pinky Moorthy &amp; DP Mohit</t>
  </si>
  <si>
    <t>B 40</t>
  </si>
  <si>
    <t>Raja &amp; Chitra</t>
  </si>
  <si>
    <t>B 41 - 42</t>
  </si>
  <si>
    <t xml:space="preserve">Sivaramakrishnan </t>
  </si>
  <si>
    <t>B 69</t>
  </si>
  <si>
    <t>Rajesh Babu Krishnan</t>
  </si>
  <si>
    <t>D 2</t>
  </si>
  <si>
    <t>Shyamala Krishnan</t>
  </si>
  <si>
    <t>D 3</t>
  </si>
  <si>
    <t xml:space="preserve">Aishwarya Anandanathan </t>
  </si>
  <si>
    <t>C 12</t>
  </si>
  <si>
    <t>Selvendran Ayyaswamy</t>
  </si>
  <si>
    <t>A 51 - 52</t>
  </si>
  <si>
    <t>Hari Narayan Prasad</t>
  </si>
  <si>
    <t>A 57 - 59</t>
  </si>
  <si>
    <t>Dr Shreesha Kumar K</t>
  </si>
  <si>
    <t>B 64</t>
  </si>
  <si>
    <t>Thejaswini &amp; Mahadeva Swamy</t>
  </si>
  <si>
    <t>B 72</t>
  </si>
  <si>
    <t>Lt.Col Vimla VR (Retd)</t>
  </si>
  <si>
    <t>A 60</t>
  </si>
  <si>
    <t xml:space="preserve">Maruthachlamurthi </t>
  </si>
  <si>
    <t>D 1</t>
  </si>
  <si>
    <t>D. Abhimanyu &amp; Amrutha Abhimanyu</t>
  </si>
  <si>
    <t>B 22</t>
  </si>
  <si>
    <t>N.Naveenkumar &amp; G.Mahalakshmi</t>
  </si>
  <si>
    <t>B 70</t>
  </si>
  <si>
    <t>Dr P Manivannan MD &amp; K.Kalaichelvi IRS Retd</t>
  </si>
  <si>
    <t>B 47</t>
  </si>
  <si>
    <t>Karthik Krishnan &amp; Dr. Soniya Selvam</t>
  </si>
  <si>
    <t>A 54 - 55</t>
  </si>
  <si>
    <t>P. Rajeev Nair</t>
  </si>
  <si>
    <t>B 68</t>
  </si>
  <si>
    <t xml:space="preserve">R.Balaji &amp; S.Venkata Priya </t>
  </si>
  <si>
    <t>A 38</t>
  </si>
  <si>
    <t>Manikandan Kumar  &amp; Rakeshwari</t>
  </si>
  <si>
    <t>B 43</t>
  </si>
  <si>
    <t xml:space="preserve">N.Muthu Sivasakthi &amp; G.Meera </t>
  </si>
  <si>
    <t>A 33</t>
  </si>
  <si>
    <t>Vijayaraghavan &amp; Hema Vijayaraghavan</t>
  </si>
  <si>
    <t>A 29 - 30</t>
  </si>
  <si>
    <t>Srinivasan Ramamoorthy/ Srividya Devarajan</t>
  </si>
  <si>
    <t>C 15</t>
  </si>
  <si>
    <t>S.Periasamy</t>
  </si>
  <si>
    <t>D 5</t>
  </si>
  <si>
    <t>S. Shanthi</t>
  </si>
  <si>
    <t>C 16</t>
  </si>
  <si>
    <t>Arunkarthick and Dr.Haripraba</t>
  </si>
  <si>
    <t>B 48</t>
  </si>
  <si>
    <t>Notrayan Srinivasan</t>
  </si>
  <si>
    <t>D 7</t>
  </si>
  <si>
    <t xml:space="preserve">Dr. P.S. Balamurugavel </t>
  </si>
  <si>
    <t>B 24</t>
  </si>
  <si>
    <t>A.M. Rajkumar &amp; Krishnaveni</t>
  </si>
  <si>
    <t>B 28</t>
  </si>
  <si>
    <t xml:space="preserve">Dr. S. Abdhul Salam </t>
  </si>
  <si>
    <t>A 34</t>
  </si>
  <si>
    <t>Sudhakar &amp; Dhanya</t>
  </si>
  <si>
    <t>B 61</t>
  </si>
  <si>
    <t>N.Rajkumar &amp; A.Judith Mary Deepa</t>
  </si>
  <si>
    <t>B 45</t>
  </si>
  <si>
    <t xml:space="preserve">K. Ramji </t>
  </si>
  <si>
    <t>A 50</t>
  </si>
  <si>
    <t>S Krishnamoorthy &amp; Dr D Champa</t>
  </si>
  <si>
    <t>C 11</t>
  </si>
  <si>
    <t>K.Eswari</t>
  </si>
  <si>
    <t>B 63</t>
  </si>
  <si>
    <t>A 56</t>
  </si>
  <si>
    <t>Gopinath &amp; Mrs Anitha</t>
  </si>
  <si>
    <t>B 46</t>
  </si>
  <si>
    <t>Ganesan &amp; Anitha</t>
  </si>
  <si>
    <t>A 36</t>
  </si>
  <si>
    <t>K.Thanikai Arasu</t>
  </si>
  <si>
    <t>B 65</t>
  </si>
  <si>
    <t>K. Suseela</t>
  </si>
  <si>
    <t>D 4</t>
  </si>
  <si>
    <t xml:space="preserve">Vishwanath Mohan </t>
  </si>
  <si>
    <t>A 31 - 32</t>
  </si>
  <si>
    <t>Narasimhan Nagarajan</t>
  </si>
  <si>
    <t>D 9</t>
  </si>
  <si>
    <t xml:space="preserve">Dr G.K.Kiran Adithya </t>
  </si>
  <si>
    <t>B 25</t>
  </si>
  <si>
    <t>N. Jaya</t>
  </si>
  <si>
    <t>B 66</t>
  </si>
  <si>
    <t xml:space="preserve">C.Narayanan </t>
  </si>
  <si>
    <t>Date</t>
  </si>
  <si>
    <t xml:space="preserve">Villa No </t>
  </si>
  <si>
    <t>Amount</t>
  </si>
  <si>
    <t>Owner</t>
  </si>
  <si>
    <t>Accrued Charges</t>
  </si>
  <si>
    <t>Total Paid</t>
  </si>
  <si>
    <t xml:space="preserve">Current Status </t>
  </si>
  <si>
    <t>Status</t>
  </si>
  <si>
    <t>Summary</t>
  </si>
  <si>
    <t>Opening Balance as of 1-Jan-2026</t>
  </si>
  <si>
    <t>Maintenance charges - Jan-May 2026</t>
  </si>
  <si>
    <t>Payments received until 16th May 2026</t>
  </si>
  <si>
    <t>Balance outstanding as of 12th May 2026</t>
  </si>
  <si>
    <t xml:space="preserve"> </t>
  </si>
  <si>
    <t>Payments Consolidated by Owner — Jan to May 2026</t>
  </si>
  <si>
    <t xml:space="preserve"> Total </t>
  </si>
  <si>
    <t>Total payments</t>
  </si>
  <si>
    <t>Outstanding</t>
  </si>
  <si>
    <t>Subadra &amp; Thirumudi</t>
  </si>
  <si>
    <t>Total</t>
  </si>
  <si>
    <t>Current Status</t>
  </si>
  <si>
    <t>(All)</t>
  </si>
  <si>
    <t xml:space="preserve">Maintenance Charges - Outstanding </t>
  </si>
  <si>
    <t>Villa Nos</t>
  </si>
  <si>
    <t xml:space="preserve">Accrued Charges </t>
  </si>
  <si>
    <t xml:space="preserve"> Total Paid</t>
  </si>
  <si>
    <t>_Current Status</t>
  </si>
  <si>
    <t>Balance as of 31st December 2025</t>
  </si>
  <si>
    <t>Maintenance Charges</t>
  </si>
  <si>
    <t xml:space="preserve">Payment Received </t>
  </si>
  <si>
    <t>*</t>
  </si>
  <si>
    <t>Balance as of 1st April 2026</t>
  </si>
  <si>
    <t xml:space="preserve">* Please note March 2026 remittances have not been </t>
  </si>
  <si>
    <t xml:space="preserve">  fully accounted for.  Waiting for March 2026 bank statement </t>
  </si>
  <si>
    <t>* This also includes prepaid payments as of 26th March 2026</t>
  </si>
  <si>
    <t>Paid</t>
  </si>
  <si>
    <t>Arrears</t>
  </si>
  <si>
    <t xml:space="preserve">Owner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</si>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</sst>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₹&quot;\ #,##0;&quot;₹&quot;\ \-#,##0"/>
    <numFmt numFmtId="164" formatCode="[$₹]#,##0"/>
    <numFmt numFmtId="165" formatCode="dd\-mmm\-yyyy"/>
    <numFmt numFmtId="166" formatCode="_ * #,##0_ ;_ * \-#,##0_ ;_ * \-??_ ;_ @_ "/>
    <numFmt numFmtId="167" formatCode="_ [$₹-4009]\ * #,##0.00_ ;_ [$₹-4009]\ * \-#,##0.00_ ;_ [$₹-4009]\ * \-??_ ;_ @_ "/>
    <numFmt numFmtId="168" formatCode="&quot;₹ &quot;#,##0.00"/>
    <numFmt numFmtId="169" formatCode="mm/yy"/>
    <numFmt numFmtId="170" formatCode="&quot;₹ &quot;#,##0"/>
    <numFmt numFmtId="171" formatCode="_ [$₹-4009]\ * #,##0.00_ ;_ [$₹-4009]\ * \-#,##0.00_ ;_ [$₹-4009]\ * &quot;-&quot;??_ ;_ @_ "/>
    <numFmt numFmtId="172" formatCode="[$₹]\ #,##0;[Red]\([$₹]\ #,##0\);&quot;-&quot;"/>
    <numFmt numFmtId="173" formatCode="[$₹]\ #,##0"/>
    <numFmt numFmtId="174" formatCode="_ * #,##0.00_ ;_ * \-#,##0.00_ ;_ * \-??_ ;_ @_ "/>
    <numFmt numFmtId="175" formatCode="[$₹-4009]\ #,##0;[Red]\([$₹-4009]\ #,##0\);&quot;-&quot;"/>
  </numFmts>
  <fonts count="29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0"/>
      <color theme="1"/>
      <name val="Arial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  <font>
      <sz val="11"/>
      <color theme="1"/>
      <name val="Arial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1F1F1F"/>
      <name val="Arial"/>
      <family val="2"/>
      <charset val="1"/>
    </font>
    <font>
      <sz val="12"/>
      <color rgb="FF444746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206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Arial"/>
      <charset val="1"/>
    </font>
    <font>
      <sz val="12"/>
      <color rgb="FF000000"/>
      <name val="Arial"/>
    </font>
    <font>
      <b/>
      <sz val="12"/>
      <color rgb="FFFFFFFF"/>
      <name val="Arial"/>
    </font>
    <font>
      <sz val="14"/>
      <color rgb="FF206166"/>
      <name val="Calibri"/>
      <family val="2"/>
      <charset val="1"/>
    </font>
    <font>
      <sz val="10"/>
      <color rgb="FF000000"/>
      <name val="Arial"/>
      <family val="2"/>
    </font>
    <font>
      <b/>
      <sz val="12"/>
      <color theme="2" tint="-0.14999847407452621"/>
      <name val="Arial"/>
      <family val="2"/>
    </font>
    <font>
      <sz val="12"/>
      <color rgb="FFC00000"/>
      <name val="Arial"/>
      <family val="2"/>
    </font>
    <font>
      <sz val="12"/>
      <color theme="9" tint="-0.499984740745262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89013336588644"/>
        <bgColor rgb="FFD9E7FD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7" tint="0.79989013336588644"/>
        <bgColor rgb="FFDAF2F4"/>
      </patternFill>
    </fill>
    <fill>
      <patternFill patternType="solid">
        <fgColor theme="4" tint="0.79989013336588644"/>
        <bgColor rgb="FFDAF2F4"/>
      </patternFill>
    </fill>
    <fill>
      <patternFill patternType="solid">
        <fgColor rgb="FF1F1F1F"/>
        <bgColor indexed="64"/>
      </patternFill>
    </fill>
    <fill>
      <patternFill patternType="solid">
        <fgColor rgb="FF444746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medium">
        <color rgb="FF7F7F7F"/>
      </bottom>
      <diagonal/>
    </border>
    <border>
      <left style="hair">
        <color rgb="FF7F7F7F"/>
      </left>
      <right style="hair">
        <color rgb="FF7F7F7F"/>
      </right>
      <top style="medium">
        <color rgb="FF7F7F7F"/>
      </top>
      <bottom style="hair">
        <color rgb="FF7F7F7F"/>
      </bottom>
      <diagonal/>
    </border>
    <border>
      <left/>
      <right/>
      <top/>
      <bottom style="hair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7F7F7F"/>
      </left>
      <right/>
      <top style="medium">
        <color rgb="FF7F7F7F"/>
      </top>
      <bottom style="hair">
        <color rgb="FF7F7F7F"/>
      </bottom>
      <diagonal/>
    </border>
  </borders>
  <cellStyleXfs count="4">
    <xf numFmtId="0" fontId="0" fillId="0" borderId="0"/>
    <xf numFmtId="174" fontId="20" fillId="0" borderId="0"/>
    <xf numFmtId="0" fontId="20" fillId="0" borderId="0"/>
    <xf numFmtId="0" fontId="20" fillId="0" borderId="0"/>
  </cellStyleXfs>
  <cellXfs count="109">
    <xf numFmtId="0" fontId="0" fillId="0" borderId="0" xfId="0"/>
    <xf numFmtId="0" fontId="1" fillId="0" borderId="0" xfId="0" applyFont="1"/>
    <xf numFmtId="0" fontId="2" fillId="0" borderId="1" xfId="0" applyFont="1" applyBorder="1"/>
    <xf numFmtId="164" fontId="3" fillId="0" borderId="2" xfId="0" applyNumberFormat="1" applyFont="1" applyBorder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/>
    <xf numFmtId="0" fontId="1" fillId="0" borderId="6" xfId="0" applyFont="1" applyBorder="1"/>
    <xf numFmtId="164" fontId="3" fillId="0" borderId="7" xfId="0" applyNumberFormat="1" applyFont="1" applyBorder="1"/>
    <xf numFmtId="164" fontId="5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1" fillId="2" borderId="6" xfId="0" applyFont="1" applyFill="1" applyBorder="1"/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left"/>
    </xf>
    <xf numFmtId="0" fontId="6" fillId="0" borderId="5" xfId="0" applyFont="1" applyBorder="1"/>
    <xf numFmtId="0" fontId="5" fillId="3" borderId="5" xfId="0" applyFont="1" applyFill="1" applyBorder="1"/>
    <xf numFmtId="0" fontId="5" fillId="4" borderId="5" xfId="0" applyFont="1" applyFill="1" applyBorder="1"/>
    <xf numFmtId="164" fontId="5" fillId="4" borderId="6" xfId="0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165" fontId="7" fillId="5" borderId="7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4" fontId="7" fillId="5" borderId="6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5" fontId="7" fillId="5" borderId="7" xfId="0" applyNumberFormat="1" applyFont="1" applyFill="1" applyBorder="1" applyAlignment="1">
      <alignment vertical="center"/>
    </xf>
    <xf numFmtId="4" fontId="7" fillId="5" borderId="6" xfId="0" applyNumberFormat="1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8" fillId="0" borderId="0" xfId="0" applyFont="1"/>
    <xf numFmtId="165" fontId="7" fillId="5" borderId="6" xfId="0" applyNumberFormat="1" applyFont="1" applyFill="1" applyBorder="1" applyAlignment="1">
      <alignment horizontal="left" vertical="center"/>
    </xf>
    <xf numFmtId="4" fontId="7" fillId="5" borderId="8" xfId="0" applyNumberFormat="1" applyFont="1" applyFill="1" applyBorder="1" applyAlignment="1">
      <alignment vertical="center"/>
    </xf>
    <xf numFmtId="165" fontId="7" fillId="5" borderId="9" xfId="0" applyNumberFormat="1" applyFont="1" applyFill="1" applyBorder="1" applyAlignment="1">
      <alignment vertical="center"/>
    </xf>
    <xf numFmtId="0" fontId="7" fillId="5" borderId="10" xfId="0" applyFont="1" applyFill="1" applyBorder="1" applyAlignment="1">
      <alignment horizontal="left" vertical="center"/>
    </xf>
    <xf numFmtId="4" fontId="7" fillId="5" borderId="10" xfId="0" applyNumberFormat="1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166" fontId="8" fillId="0" borderId="0" xfId="1" applyNumberFormat="1" applyFo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9" fillId="0" borderId="2" xfId="1" applyNumberFormat="1" applyFont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6" fontId="20" fillId="0" borderId="6" xfId="1" applyNumberForma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6" xfId="0" applyBorder="1"/>
    <xf numFmtId="167" fontId="0" fillId="0" borderId="6" xfId="0" applyNumberFormat="1" applyBorder="1"/>
    <xf numFmtId="0" fontId="7" fillId="0" borderId="7" xfId="0" applyFont="1" applyBorder="1" applyAlignment="1">
      <alignment horizontal="center" vertical="center"/>
    </xf>
    <xf numFmtId="166" fontId="20" fillId="4" borderId="6" xfId="1" applyNumberFormat="1" applyFill="1" applyBorder="1" applyAlignment="1">
      <alignment horizontal="center" vertical="center"/>
    </xf>
    <xf numFmtId="167" fontId="11" fillId="0" borderId="6" xfId="0" applyNumberFormat="1" applyFont="1" applyBorder="1"/>
    <xf numFmtId="0" fontId="12" fillId="0" borderId="0" xfId="0" applyFont="1"/>
    <xf numFmtId="0" fontId="7" fillId="0" borderId="9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6" fontId="20" fillId="0" borderId="10" xfId="1" applyNumberForma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20" fillId="0" borderId="0" xfId="1" applyNumberFormat="1"/>
    <xf numFmtId="0" fontId="11" fillId="0" borderId="6" xfId="0" applyFont="1" applyBorder="1"/>
    <xf numFmtId="0" fontId="13" fillId="0" borderId="0" xfId="0" applyFont="1"/>
    <xf numFmtId="166" fontId="0" fillId="0" borderId="6" xfId="0" applyNumberFormat="1" applyBorder="1"/>
    <xf numFmtId="0" fontId="11" fillId="0" borderId="6" xfId="0" applyFont="1" applyBorder="1" applyAlignment="1">
      <alignment horizontal="center"/>
    </xf>
    <xf numFmtId="168" fontId="20" fillId="0" borderId="0" xfId="1" applyNumberFormat="1"/>
    <xf numFmtId="0" fontId="0" fillId="0" borderId="6" xfId="0" applyBorder="1" applyAlignment="1">
      <alignment horizontal="left"/>
    </xf>
    <xf numFmtId="168" fontId="0" fillId="0" borderId="6" xfId="0" applyNumberFormat="1" applyBorder="1"/>
    <xf numFmtId="0" fontId="11" fillId="0" borderId="0" xfId="0" applyFont="1"/>
    <xf numFmtId="169" fontId="12" fillId="0" borderId="0" xfId="0" applyNumberFormat="1" applyFont="1"/>
    <xf numFmtId="170" fontId="20" fillId="0" borderId="0" xfId="1" applyNumberFormat="1"/>
    <xf numFmtId="170" fontId="11" fillId="0" borderId="0" xfId="1" applyNumberFormat="1" applyFont="1"/>
    <xf numFmtId="0" fontId="14" fillId="0" borderId="6" xfId="0" applyFont="1" applyBorder="1" applyAlignment="1">
      <alignment horizontal="center"/>
    </xf>
    <xf numFmtId="0" fontId="15" fillId="0" borderId="0" xfId="0" applyFont="1"/>
    <xf numFmtId="0" fontId="16" fillId="6" borderId="6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166" fontId="18" fillId="6" borderId="6" xfId="1" applyNumberFormat="1" applyFont="1" applyFill="1" applyBorder="1"/>
    <xf numFmtId="0" fontId="19" fillId="0" borderId="6" xfId="0" applyFont="1" applyBorder="1"/>
    <xf numFmtId="4" fontId="0" fillId="0" borderId="0" xfId="0" applyNumberFormat="1"/>
    <xf numFmtId="166" fontId="0" fillId="0" borderId="0" xfId="0" applyNumberFormat="1"/>
    <xf numFmtId="164" fontId="8" fillId="0" borderId="0" xfId="0" applyNumberFormat="1" applyFont="1"/>
    <xf numFmtId="171" fontId="0" fillId="0" borderId="0" xfId="0" applyNumberFormat="1"/>
    <xf numFmtId="0" fontId="21" fillId="0" borderId="0" xfId="0" applyFont="1"/>
    <xf numFmtId="0" fontId="21" fillId="0" borderId="13" xfId="0" applyFont="1" applyBorder="1"/>
    <xf numFmtId="172" fontId="21" fillId="0" borderId="13" xfId="0" applyNumberFormat="1" applyFont="1" applyBorder="1"/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2" xfId="0" applyFont="1" applyBorder="1"/>
    <xf numFmtId="172" fontId="21" fillId="0" borderId="12" xfId="0" applyNumberFormat="1" applyFont="1" applyBorder="1"/>
    <xf numFmtId="0" fontId="21" fillId="0" borderId="14" xfId="0" applyFont="1" applyBorder="1" applyAlignment="1">
      <alignment horizontal="center"/>
    </xf>
    <xf numFmtId="0" fontId="21" fillId="0" borderId="14" xfId="0" applyFont="1" applyBorder="1"/>
    <xf numFmtId="172" fontId="21" fillId="0" borderId="14" xfId="0" applyNumberFormat="1" applyFont="1" applyBorder="1"/>
    <xf numFmtId="0" fontId="22" fillId="7" borderId="16" xfId="0" applyFont="1" applyFill="1" applyBorder="1"/>
    <xf numFmtId="173" fontId="22" fillId="7" borderId="16" xfId="0" applyNumberFormat="1" applyFont="1" applyFill="1" applyBorder="1"/>
    <xf numFmtId="166" fontId="23" fillId="0" borderId="6" xfId="0" applyNumberFormat="1" applyFont="1" applyBorder="1"/>
    <xf numFmtId="0" fontId="24" fillId="0" borderId="0" xfId="0" applyFont="1"/>
    <xf numFmtId="174" fontId="24" fillId="0" borderId="0" xfId="1" applyFont="1"/>
    <xf numFmtId="171" fontId="24" fillId="0" borderId="0" xfId="0" applyNumberFormat="1" applyFont="1"/>
    <xf numFmtId="0" fontId="25" fillId="8" borderId="15" xfId="0" applyFont="1" applyFill="1" applyBorder="1" applyAlignment="1">
      <alignment horizontal="center"/>
    </xf>
    <xf numFmtId="17" fontId="25" fillId="8" borderId="15" xfId="0" applyNumberFormat="1" applyFont="1" applyFill="1" applyBorder="1" applyAlignment="1">
      <alignment horizontal="center"/>
    </xf>
    <xf numFmtId="173" fontId="22" fillId="7" borderId="19" xfId="0" applyNumberFormat="1" applyFont="1" applyFill="1" applyBorder="1"/>
    <xf numFmtId="175" fontId="21" fillId="0" borderId="12" xfId="0" applyNumberFormat="1" applyFont="1" applyBorder="1"/>
    <xf numFmtId="175" fontId="21" fillId="0" borderId="13" xfId="0" applyNumberFormat="1" applyFont="1" applyBorder="1"/>
    <xf numFmtId="175" fontId="21" fillId="0" borderId="14" xfId="0" applyNumberFormat="1" applyFont="1" applyBorder="1"/>
    <xf numFmtId="175" fontId="22" fillId="7" borderId="19" xfId="0" applyNumberFormat="1" applyFont="1" applyFill="1" applyBorder="1"/>
    <xf numFmtId="5" fontId="26" fillId="0" borderId="0" xfId="1" applyNumberFormat="1" applyFont="1"/>
    <xf numFmtId="5" fontId="26" fillId="0" borderId="18" xfId="1" applyNumberFormat="1" applyFont="1" applyBorder="1"/>
    <xf numFmtId="172" fontId="27" fillId="0" borderId="12" xfId="0" applyNumberFormat="1" applyFont="1" applyBorder="1"/>
    <xf numFmtId="172" fontId="27" fillId="0" borderId="13" xfId="0" applyNumberFormat="1" applyFont="1" applyBorder="1"/>
    <xf numFmtId="172" fontId="27" fillId="0" borderId="14" xfId="0" applyNumberFormat="1" applyFont="1" applyBorder="1"/>
    <xf numFmtId="172" fontId="27" fillId="0" borderId="18" xfId="0" applyNumberFormat="1" applyFont="1" applyBorder="1"/>
    <xf numFmtId="0" fontId="24" fillId="0" borderId="6" xfId="0" applyFont="1" applyBorder="1"/>
    <xf numFmtId="0" fontId="28" fillId="0" borderId="13" xfId="0" applyFont="1" applyBorder="1"/>
    <xf numFmtId="0" fontId="25" fillId="7" borderId="17" xfId="0" applyFont="1" applyFill="1" applyBorder="1" applyAlignment="1">
      <alignment horizontal="center"/>
    </xf>
    <xf numFmtId="0" fontId="0" fillId="0" borderId="17" xfId="0" applyBorder="1"/>
  </cellXfs>
  <cellStyles count="4">
    <cellStyle name="Comma" xfId="1" builtinId="3"/>
    <cellStyle name="Normal" xfId="0" builtinId="0"/>
    <cellStyle name="Pivot Table Corner" xfId="2" xr:uid="{00000000-0005-0000-0000-000002000000}"/>
    <cellStyle name="Pivot Table Value" xfId="3" xr:uid="{00000000-0005-0000-0000-000003000000}"/>
  </cellStyles>
  <dxfs count="22">
    <dxf>
      <font>
        <b/>
        <color rgb="FF006100"/>
      </font>
      <fill>
        <patternFill patternType="solid">
          <fgColor indexed="64"/>
          <bgColor rgb="FFC6EFCE"/>
        </patternFill>
      </fill>
    </dxf>
    <dxf>
      <font>
        <b/>
        <color rgb="FF9C0006"/>
      </font>
      <fill>
        <patternFill patternType="solid">
          <fgColor indexed="64"/>
          <bgColor rgb="FFF8CBAD"/>
        </patternFill>
      </fill>
    </dxf>
    <dxf>
      <font>
        <color rgb="FF206166"/>
      </font>
    </dxf>
    <dxf>
      <font>
        <name val="Calibri"/>
        <family val="2"/>
        <charset val="1"/>
      </font>
    </dxf>
    <dxf>
      <font>
        <name val="Calibri"/>
        <family val="2"/>
        <charset val="1"/>
      </font>
    </dxf>
    <dxf>
      <font>
        <name val="Calibri"/>
        <family val="2"/>
        <charset val="1"/>
      </font>
    </dxf>
    <dxf>
      <font>
        <color rgb="FF277E3E"/>
      </font>
    </dxf>
    <dxf>
      <font>
        <color rgb="FF002060"/>
      </font>
    </dxf>
    <dxf>
      <font>
        <sz val="12"/>
      </font>
    </dxf>
    <dxf>
      <fill>
        <patternFill>
          <bgColor theme="9" tint="0.59987182226020086"/>
        </patternFill>
      </fill>
    </dxf>
    <dxf>
      <font>
        <name val="Calibri Light"/>
        <charset val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color rgb="FF2F929A"/>
      </font>
    </dxf>
    <dxf>
      <font>
        <b/>
      </font>
    </dxf>
    <dxf>
      <font>
        <color rgb="FFFF0000"/>
      </font>
    </dxf>
    <dxf>
      <font>
        <sz val="16"/>
      </font>
    </dxf>
    <dxf>
      <font>
        <sz val="14"/>
      </font>
    </dxf>
    <dxf>
      <numFmt numFmtId="166" formatCode="_ * #,##0_ ;_ * \-#,##0_ ;_ * \-??_ ;_ @_ 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D"/>
      <rgbColor rgb="FFD3F1DB"/>
      <rgbColor rgb="FFFFFF99"/>
      <rgbColor rgb="FF99CCFF"/>
      <rgbColor rgb="FFFF99CC"/>
      <rgbColor rgb="FFCC99FF"/>
      <rgbColor rgb="FFFFCC99"/>
      <rgbColor rgb="FF4285F4"/>
      <rgbColor rgb="FF33CCCC"/>
      <rgbColor rgb="FF92D05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1F1F1F"/>
      <rgbColor rgb="FF993300"/>
      <rgbColor rgb="FF993366"/>
      <rgbColor rgb="FF44474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IN" sz="1200" b="1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Arial"/>
              </a:rPr>
              <a:t>Payment Received Jan-Mar 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0" cap="rnd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80" cap="rnd">
                <a:solidFill>
                  <a:schemeClr val="accent1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val>
            <c:numRef>
              <c:f>Analysis!$H$11:$H$13</c:f>
              <c:numCache>
                <c:formatCode>"₹ "#,##0</c:formatCode>
                <c:ptCount val="3"/>
                <c:pt idx="0">
                  <c:v>80500</c:v>
                </c:pt>
                <c:pt idx="1">
                  <c:v>147000</c:v>
                </c:pt>
                <c:pt idx="2">
                  <c:v>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8-4C39-8349-DB5594B00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0587242"/>
        <c:axId val="55857842"/>
      </c:lineChart>
      <c:catAx>
        <c:axId val="90587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55857842"/>
        <c:crosses val="autoZero"/>
        <c:auto val="1"/>
        <c:lblAlgn val="ctr"/>
        <c:lblOffset val="100"/>
        <c:noMultiLvlLbl val="0"/>
      </c:catAx>
      <c:valAx>
        <c:axId val="5585784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 &quot;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9058724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719280</xdr:colOff>
      <xdr:row>0</xdr:row>
      <xdr:rowOff>85680</xdr:rowOff>
    </xdr:from>
    <xdr:to>
      <xdr:col>16</xdr:col>
      <xdr:colOff>118800</xdr:colOff>
      <xdr:row>15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riatwork" refreshedDate="46156.554710069453" createdVersion="3" refreshedVersion="8" recordCount="80" xr:uid="{00000000-000A-0000-FFFF-FFFF00000000}">
  <cacheSource type="worksheet">
    <worksheetSource ref="A1:D81" sheet="Transaction_Log"/>
  </cacheSource>
  <cacheFields count="4">
    <cacheField name="Date" numFmtId="166">
      <sharedItems containsSemiMixedTypes="0" containsNonDate="0" containsDate="1" containsString="0" minDate="2026-01-01T00:00:00" maxDate="2026-04-02T00:00:00"/>
    </cacheField>
    <cacheField name="Villa No " numFmtId="0">
      <sharedItems/>
    </cacheField>
    <cacheField name="Amount" numFmtId="4">
      <sharedItems containsSemiMixedTypes="0" containsString="0" containsNumber="1" containsInteger="1" minValue="1500" maxValue="36000"/>
    </cacheField>
    <cacheField name="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0">
  <r>
    <d v="2026-01-01T00:00:00"/>
    <s v="C 18 - 19"/>
    <n v="1500"/>
    <s v="Malathy Sundaram "/>
  </r>
  <r>
    <d v="2026-01-01T00:00:00"/>
    <s v="C 14"/>
    <n v="1500"/>
    <s v="Latish Babu"/>
  </r>
  <r>
    <d v="2026-01-01T00:00:00"/>
    <s v="B 20 - 21"/>
    <n v="1500"/>
    <s v="M .Kalaivani Chandramohan"/>
  </r>
  <r>
    <d v="2026-01-02T00:00:00"/>
    <s v="B 22"/>
    <n v="1500"/>
    <s v="N.Naveenkumar &amp; G.Mahalakshmi"/>
  </r>
  <r>
    <d v="2026-01-02T00:00:00"/>
    <s v="A 37"/>
    <n v="1500"/>
    <s v="Bhagath "/>
  </r>
  <r>
    <d v="2026-01-02T00:00:00"/>
    <s v="B 69"/>
    <n v="1500"/>
    <s v="Rajesh Babu Krishnan"/>
  </r>
  <r>
    <d v="2026-01-03T00:00:00"/>
    <s v="C 12"/>
    <n v="3000"/>
    <s v="Selvendran Ayyaswamy"/>
  </r>
  <r>
    <d v="2026-01-03T00:00:00"/>
    <s v="B 64"/>
    <n v="3000"/>
    <s v="Thejaswini &amp; Mahadeva Swamy"/>
  </r>
  <r>
    <d v="2026-01-07T00:00:00"/>
    <s v="C 10"/>
    <n v="1500"/>
    <s v="R.Chetan Kumar"/>
  </r>
  <r>
    <d v="2026-01-07T00:00:00"/>
    <s v="A 38"/>
    <n v="4500"/>
    <s v="Manikandan Kumar  &amp; Rakeshwari"/>
  </r>
  <r>
    <d v="2026-01-08T00:00:00"/>
    <s v="B 45"/>
    <n v="1500"/>
    <s v="K. Ramji "/>
  </r>
  <r>
    <d v="2026-01-09T00:00:00"/>
    <s v="B 65"/>
    <n v="1500"/>
    <s v="K. Suseela"/>
  </r>
  <r>
    <d v="2026-01-11T00:00:00"/>
    <s v="B 27"/>
    <n v="1500"/>
    <s v="S.Rajeswari "/>
  </r>
  <r>
    <d v="2026-01-12T00:00:00"/>
    <s v="B 23"/>
    <n v="1500"/>
    <s v="S.V. Sanjeev Kumar"/>
  </r>
  <r>
    <d v="2026-01-13T00:00:00"/>
    <s v="D 2"/>
    <n v="1500"/>
    <s v="Shyamala Krishnan"/>
  </r>
  <r>
    <d v="2026-01-19T00:00:00"/>
    <s v="D 6"/>
    <n v="1500"/>
    <s v="Ranganathan "/>
  </r>
  <r>
    <d v="2026-01-19T00:00:00"/>
    <s v="A 36"/>
    <n v="1500"/>
    <s v="K.Thanikai Arasu"/>
  </r>
  <r>
    <d v="2026-01-20T00:00:00"/>
    <s v="B 46"/>
    <n v="10000"/>
    <s v="Ganesan &amp; Anitha"/>
  </r>
  <r>
    <d v="2026-01-20T00:00:00"/>
    <s v="A 50"/>
    <n v="36000"/>
    <s v="S Krishnamoorthy &amp; Dr D Champa"/>
  </r>
  <r>
    <d v="2026-01-24T00:00:00"/>
    <s v="D 1"/>
    <n v="3000"/>
    <s v="D. Abhimanyu &amp; Amrutha Abhimanyu"/>
  </r>
  <r>
    <d v="2026-02-01T00:00:00"/>
    <s v="C 18 - 19"/>
    <n v="1500"/>
    <s v="Malathy Sundaram "/>
  </r>
  <r>
    <d v="2026-02-01T00:00:00"/>
    <s v="C 14"/>
    <n v="1500"/>
    <s v="Latish Babu"/>
  </r>
  <r>
    <d v="2026-02-02T00:00:00"/>
    <s v="D 6"/>
    <n v="1500"/>
    <s v="Ranganathan "/>
  </r>
  <r>
    <d v="2026-02-02T00:00:00"/>
    <s v="B 22"/>
    <n v="1500"/>
    <s v="N.Naveenkumar &amp; G.Mahalakshmi"/>
  </r>
  <r>
    <d v="2026-02-02T00:00:00"/>
    <s v="B 69"/>
    <n v="1500"/>
    <s v="Rajesh Babu Krishnan"/>
  </r>
  <r>
    <d v="2026-02-03T00:00:00"/>
    <s v="B 45"/>
    <n v="21000"/>
    <s v="K. Ramji "/>
  </r>
  <r>
    <d v="2026-02-05T00:00:00"/>
    <s v="A 37"/>
    <n v="1500"/>
    <s v="Bhagath "/>
  </r>
  <r>
    <d v="2026-02-05T00:00:00"/>
    <s v="B 43"/>
    <n v="4500"/>
    <s v="N.Muthu Sivasakthi &amp; G.Meera "/>
  </r>
  <r>
    <d v="2026-02-06T00:00:00"/>
    <s v="B 46"/>
    <n v="30000"/>
    <s v="Ganesan &amp; Anitha"/>
  </r>
  <r>
    <d v="2026-02-07T00:00:00"/>
    <s v="C 10"/>
    <n v="1500"/>
    <s v="R.Chetan Kumar"/>
  </r>
  <r>
    <d v="2026-02-07T00:00:00"/>
    <s v="B 64"/>
    <n v="1500"/>
    <s v="Thejaswini &amp; Mahadeva Swamy"/>
  </r>
  <r>
    <d v="2026-02-08T00:00:00"/>
    <s v="B 65"/>
    <n v="1500"/>
    <s v="K. Suseela"/>
  </r>
  <r>
    <d v="2026-02-08T00:00:00"/>
    <s v="B 72"/>
    <n v="4500"/>
    <s v="Lt.Col Vimla VR (Retd)"/>
  </r>
  <r>
    <d v="2026-02-12T00:00:00"/>
    <s v="B 23"/>
    <n v="1500"/>
    <s v="S.V. Sanjeev Kumar"/>
  </r>
  <r>
    <d v="2026-02-12T00:00:00"/>
    <s v="A 36"/>
    <n v="1500"/>
    <s v="K.Thanikai Arasu"/>
  </r>
  <r>
    <d v="2026-02-15T00:00:00"/>
    <s v="C 12"/>
    <n v="3000"/>
    <s v="Selvendran Ayyaswamy"/>
  </r>
  <r>
    <d v="2026-02-15T00:00:00"/>
    <s v="C 15"/>
    <n v="15500"/>
    <s v="S.Periasamy"/>
  </r>
  <r>
    <d v="2026-02-15T00:00:00"/>
    <s v="A 38"/>
    <n v="4500"/>
    <s v="Manikandan Kumar  &amp; Rakeshwari"/>
  </r>
  <r>
    <d v="2026-02-16T00:00:00"/>
    <s v="A 60"/>
    <n v="2500"/>
    <s v="Maruthachlamurthi "/>
  </r>
  <r>
    <d v="2026-02-17T00:00:00"/>
    <s v="B 20 - 21"/>
    <n v="3000"/>
    <s v="M .Kalaivani Chandramohan"/>
  </r>
  <r>
    <d v="2026-02-17T00:00:00"/>
    <s v="B 25"/>
    <n v="3000"/>
    <s v="N. Jaya"/>
  </r>
  <r>
    <d v="2026-02-17T00:00:00"/>
    <s v="B 27"/>
    <n v="1500"/>
    <s v="S.Rajeswari "/>
  </r>
  <r>
    <d v="2026-02-17T00:00:00"/>
    <s v="B 63"/>
    <n v="22500"/>
    <s v="N.Rajkumar &amp; A.Judith Mary Deepa"/>
  </r>
  <r>
    <d v="2026-02-19T00:00:00"/>
    <s v="D 9"/>
    <n v="3000"/>
    <s v="Dr G.K.Kiran Adithya "/>
  </r>
  <r>
    <d v="2026-02-24T00:00:00"/>
    <s v="B 40"/>
    <n v="1500"/>
    <s v="Raja &amp; Chitra"/>
  </r>
  <r>
    <d v="2026-02-28T00:00:00"/>
    <s v="D 1"/>
    <n v="3000"/>
    <s v="D. Abhimanyu &amp; Amrutha Abhimanyu"/>
  </r>
  <r>
    <d v="2026-02-28T00:00:00"/>
    <s v="B 47"/>
    <n v="7500"/>
    <s v="Karthik Krishnan &amp; Dr. Soniya Selvam"/>
  </r>
  <r>
    <d v="2026-03-01T00:00:00"/>
    <s v="C 18 - 19"/>
    <n v="1500"/>
    <s v="Malathy Sundaram "/>
  </r>
  <r>
    <d v="2026-03-02T00:00:00"/>
    <s v="B 45"/>
    <n v="1500"/>
    <s v="K. Ramji "/>
  </r>
  <r>
    <d v="2026-03-02T00:00:00"/>
    <s v="B 69"/>
    <n v="1500"/>
    <s v="Rajesh Babu Krishnan"/>
  </r>
  <r>
    <d v="2026-03-02T00:00:00"/>
    <s v="B 22"/>
    <n v="1500"/>
    <s v="N.Naveenkumar &amp; G.Mahalakshmi"/>
  </r>
  <r>
    <d v="2026-03-03T00:00:00"/>
    <s v="B 43"/>
    <n v="1500"/>
    <s v="N.Muthu Sivasakthi &amp; G.Meera "/>
  </r>
  <r>
    <d v="2026-03-04T00:00:00"/>
    <s v="D 7"/>
    <n v="1500"/>
    <s v="Dr. P.S. Balamurugavel "/>
  </r>
  <r>
    <d v="2026-03-05T00:00:00"/>
    <s v="A 37"/>
    <n v="1500"/>
    <s v="Bhagath "/>
  </r>
  <r>
    <d v="2026-03-08T00:00:00"/>
    <s v="B 61"/>
    <n v="18000"/>
    <s v="N.Rajkumar &amp; A.Judith Mary Deepa"/>
  </r>
  <r>
    <d v="2026-03-08T00:00:00"/>
    <s v="B 63"/>
    <n v="18000"/>
    <s v="N.Rajkumar &amp; A.Judith Mary Deepa"/>
  </r>
  <r>
    <d v="2026-03-09T00:00:00"/>
    <s v="B 65"/>
    <n v="1500"/>
    <s v="K. Suseela"/>
  </r>
  <r>
    <d v="2026-03-10T00:00:00"/>
    <s v="D 2"/>
    <n v="3000"/>
    <s v="Shyamala Krishnan"/>
  </r>
  <r>
    <d v="2026-03-11T00:00:00"/>
    <s v="C 10"/>
    <n v="1500"/>
    <s v="R.Chetan Kumar"/>
  </r>
  <r>
    <d v="2026-03-11T00:00:00"/>
    <s v="B 47"/>
    <n v="1500"/>
    <s v="Karthik Krishnan &amp; Dr. Soniya Selvam"/>
  </r>
  <r>
    <d v="2026-03-14T00:00:00"/>
    <s v="B 39"/>
    <n v="3000"/>
    <s v="G.Dachinamoorthy &amp; Pinky Moorthy &amp; DP Mohit"/>
  </r>
  <r>
    <d v="2026-03-21T00:00:00"/>
    <s v="A 29 - 30"/>
    <n v="15000"/>
    <s v="Srinivasan Ramamoorthy/ Srividya Devarajan"/>
  </r>
  <r>
    <d v="2026-03-22T00:00:00"/>
    <s v="C 16"/>
    <n v="19500"/>
    <s v="Arunkarthick and Dr.Haripraba"/>
  </r>
  <r>
    <d v="2026-03-22T00:00:00"/>
    <s v="A 38"/>
    <n v="1500"/>
    <s v="Manikandan Kumar  &amp; Rakeshwari"/>
  </r>
  <r>
    <d v="2026-03-23T00:00:00"/>
    <s v="B 41 - 42"/>
    <n v="4500"/>
    <s v="Sivaramakrishnan "/>
  </r>
  <r>
    <d v="2026-03-23T00:00:00"/>
    <s v="D 7"/>
    <n v="12000"/>
    <s v="Dr. P.S. Balamurugavel "/>
  </r>
  <r>
    <d v="2026-03-23T00:00:00"/>
    <s v="B 64"/>
    <n v="1500"/>
    <s v="Thejaswini &amp; Mahadeva Swamy"/>
  </r>
  <r>
    <d v="2026-03-23T00:00:00"/>
    <s v="A 36"/>
    <n v="1500"/>
    <s v="K.Thanikai Arasu"/>
  </r>
  <r>
    <d v="2026-03-26T00:00:00"/>
    <s v="A 60"/>
    <n v="4500"/>
    <s v="Maruthachlamurthi "/>
  </r>
  <r>
    <d v="2026-03-26T00:00:00"/>
    <s v="D 2"/>
    <n v="1500"/>
    <s v="Shyamala Krishnan"/>
  </r>
  <r>
    <d v="2026-03-26T00:00:00"/>
    <s v="D 3"/>
    <n v="6000"/>
    <s v="Aishwarya Anandanathan "/>
  </r>
  <r>
    <d v="2026-03-26T00:00:00"/>
    <s v="A 60"/>
    <n v="1500"/>
    <s v="Maruthachlamurthi "/>
  </r>
  <r>
    <d v="2026-03-29T00:00:00"/>
    <s v="B 24"/>
    <n v="21000"/>
    <s v="A.M. Rajkumar &amp; Krishnaveni"/>
  </r>
  <r>
    <d v="2026-04-01T00:00:00"/>
    <s v="C 18 - 19"/>
    <n v="1500"/>
    <s v="Malathy Sundaram "/>
  </r>
  <r>
    <d v="2026-04-01T00:00:00"/>
    <s v="B 20 - 21"/>
    <n v="1500"/>
    <s v="M .Kalaivani Chandramohan"/>
  </r>
  <r>
    <d v="2026-04-01T00:00:00"/>
    <s v="B 24"/>
    <n v="1500"/>
    <s v="A.M. Rajkumar &amp; Krishnaveni"/>
  </r>
  <r>
    <d v="2026-04-01T00:00:00"/>
    <s v="B 25"/>
    <n v="1500"/>
    <s v="N. Jaya"/>
  </r>
  <r>
    <d v="2026-04-01T00:00:00"/>
    <s v="A 57 - 59"/>
    <n v="9000"/>
    <s v="Dr Shreesha Kumar K"/>
  </r>
  <r>
    <d v="2026-04-01T00:00:00"/>
    <s v="B 69"/>
    <n v="1500"/>
    <s v="Rajesh Babu Krishnan"/>
  </r>
  <r>
    <d v="2026-04-01T00:00:00"/>
    <s v="B 40"/>
    <n v="1500"/>
    <s v="Raja &amp; Chi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G26:G27" firstHeaderRow="1" firstDataRow="1" firstDataCol="0"/>
  <pivotFields count="4">
    <pivotField showAll="0"/>
    <pivotField compact="0" showAll="0"/>
    <pivotField dataField="1" showAll="0"/>
    <pivotField showAll="0"/>
  </pivotFields>
  <rowItems count="1">
    <i/>
  </rowItems>
  <colItems count="1">
    <i/>
  </colItems>
  <dataFields count="1">
    <dataField name="Paid" fld="2" baseField="0" baseItem="0" numFmtId="4"/>
  </dataFields>
  <formats count="25">
    <format dxfId="21">
      <pivotArea outline="0" fieldPosition="0"/>
    </format>
    <format dxfId="20">
      <pivotArea outline="0" fieldPosition="0"/>
    </format>
    <format dxfId="19">
      <pivotArea dataOnly="0" labelOnly="1" outline="0" fieldPosition="0"/>
    </format>
    <format dxfId="18">
      <pivotArea dataOnly="0" labelOnly="1" outline="0" fieldPosition="0"/>
    </format>
    <format dxfId="17">
      <pivotArea dataOnly="0" labelOnly="1" outline="0" fieldPosition="0"/>
    </format>
    <format dxfId="16">
      <pivotArea dataOnly="0" outline="0" fieldPosition="0">
        <references count="1">
          <reference field="1" count="0"/>
        </references>
      </pivotArea>
    </format>
    <format dxfId="15">
      <pivotArea dataOnly="0" outline="0" fieldPosition="0">
        <references count="1">
          <reference field="1" count="0"/>
        </references>
      </pivotArea>
    </format>
    <format dxfId="14">
      <pivotArea dataOnly="0" labelOnly="1" outline="0" fieldPosition="0"/>
    </format>
    <format dxfId="13">
      <pivotArea dataOnly="0" outline="0" fieldPosition="0"/>
    </format>
    <format dxfId="12">
      <pivotArea outline="0" fieldPosition="0"/>
    </format>
    <format dxfId="11">
      <pivotArea dataOnly="0" labelOnly="1" outline="0" fieldPosition="0"/>
    </format>
    <format dxfId="10">
      <pivotArea dataOnly="0" labelOnly="1" outline="0" fieldPosition="0"/>
    </format>
    <format>
      <pivotArea dataOnly="0" labelOnly="1" outline="0" fieldPosition="0"/>
    </format>
    <format dxfId="9">
      <pivotArea dataOnly="0" labelOnly="1" outline="0" fieldPosition="0"/>
    </format>
    <format>
      <pivotArea dataOnly="0" labelOnly="1" outline="0" fieldPosition="0"/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1" count="0"/>
        </references>
      </pivotArea>
    </format>
    <format dxfId="6">
      <pivotArea dataOnly="0" labelOnly="1" outline="0" fieldPosition="0"/>
    </format>
    <format dxfId="5">
      <pivotArea dataOnly="0" outline="0" fieldPosition="0"/>
    </format>
    <format dxfId="4">
      <pivotArea outline="0" fieldPosition="0"/>
    </format>
    <format dxfId="3">
      <pivotArea dataOnly="0" labelOnly="1" outline="0" fieldPosition="0"/>
    </format>
    <format dxfId="2">
      <pivotArea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E53" totalsRowShown="0">
  <autoFilter ref="A1:E53" xr:uid="{00000000-0009-0000-0100-000001000000}"/>
  <tableColumns count="5">
    <tableColumn id="1" xr3:uid="{00000000-0010-0000-0000-000001000000}" name="Villa No"/>
    <tableColumn id="2" xr3:uid="{00000000-0010-0000-0000-000002000000}" name="Owner Name"/>
    <tableColumn id="3" xr3:uid="{00000000-0010-0000-0000-000003000000}" name="Monthly Rate"/>
    <tableColumn id="4" xr3:uid="{00000000-0010-0000-0000-000004000000}" name="Opening Balance (as of Jan-01-2026)"/>
    <tableColumn id="5" xr3:uid="{00000000-0010-0000-0000-000005000000}" name="Months Elaps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D81" totalsRowShown="0">
  <autoFilter ref="A1:D81" xr:uid="{00000000-0009-0000-0100-000002000000}"/>
  <tableColumns count="4">
    <tableColumn id="1" xr3:uid="{00000000-0010-0000-0100-000001000000}" name="Date"/>
    <tableColumn id="2" xr3:uid="{00000000-0010-0000-0100-000002000000}" name="Villa No "/>
    <tableColumn id="3" xr3:uid="{00000000-0010-0000-0100-000003000000}" name="Amount"/>
    <tableColumn id="4" xr3:uid="{00000000-0010-0000-0100-000004000000}" name="Own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E53" totalsRowShown="0">
  <autoFilter ref="A1:E53" xr:uid="{00000000-0009-0000-0100-000003000000}"/>
  <tableColumns count="5">
    <tableColumn id="1" xr3:uid="{00000000-0010-0000-0200-000001000000}" name="Villa No"/>
    <tableColumn id="2" xr3:uid="{00000000-0010-0000-0200-000002000000}" name="Accrued Charges">
      <calculatedColumnFormula>VLOOKUP(A2,Owner_Master!A:E,4,0)+(VLOOKUP(A2,Owner_Master!A:E,3,0)*VLOOKUP(A2,Owner_Master!A:E,5,0))</calculatedColumnFormula>
    </tableColumn>
    <tableColumn id="3" xr3:uid="{00000000-0010-0000-0200-000003000000}" name="Total Paid">
      <calculatedColumnFormula>SUMIF(Transaction_Log!$B:$B,$A2,Transaction_Log!$C:$C)</calculatedColumnFormula>
    </tableColumn>
    <tableColumn id="4" xr3:uid="{00000000-0010-0000-0200-000004000000}" name="Current Status "/>
    <tableColumn id="5" xr3:uid="{00000000-0010-0000-0200-000005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55"/>
  <sheetViews>
    <sheetView topLeftCell="A22" zoomScaleNormal="100" workbookViewId="0">
      <selection activeCell="B27" sqref="B27"/>
    </sheetView>
  </sheetViews>
  <sheetFormatPr defaultColWidth="12.5703125" defaultRowHeight="15.75" customHeight="1" x14ac:dyDescent="0.2"/>
  <cols>
    <col min="1" max="1" width="11.5703125" customWidth="1"/>
    <col min="2" max="2" width="52.7109375" customWidth="1"/>
    <col min="3" max="3" width="15.42578125" style="1" customWidth="1"/>
    <col min="4" max="4" width="35.85546875" customWidth="1"/>
    <col min="5" max="5" width="17.42578125" customWidth="1"/>
  </cols>
  <sheetData>
    <row r="1" spans="1:7" ht="14.25" customHeight="1" x14ac:dyDescent="0.2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7" ht="14.25" customHeight="1" x14ac:dyDescent="0.2">
      <c r="A2" s="6" t="s">
        <v>5</v>
      </c>
      <c r="B2" s="7" t="s">
        <v>6</v>
      </c>
      <c r="C2" s="8">
        <v>1500</v>
      </c>
      <c r="D2" s="9">
        <v>0</v>
      </c>
      <c r="E2" s="10">
        <v>5</v>
      </c>
    </row>
    <row r="3" spans="1:7" ht="14.25" customHeight="1" x14ac:dyDescent="0.2">
      <c r="A3" s="6" t="s">
        <v>7</v>
      </c>
      <c r="B3" s="11" t="s">
        <v>8</v>
      </c>
      <c r="C3" s="8">
        <v>1500</v>
      </c>
      <c r="D3" s="9">
        <v>0</v>
      </c>
      <c r="E3" s="10">
        <v>5</v>
      </c>
    </row>
    <row r="4" spans="1:7" ht="14.25" customHeight="1" x14ac:dyDescent="0.2">
      <c r="A4" s="6" t="s">
        <v>9</v>
      </c>
      <c r="B4" s="7" t="s">
        <v>10</v>
      </c>
      <c r="C4" s="8">
        <v>1500</v>
      </c>
      <c r="D4" s="9">
        <v>0</v>
      </c>
      <c r="E4" s="10">
        <v>5</v>
      </c>
    </row>
    <row r="5" spans="1:7" ht="14.25" customHeight="1" x14ac:dyDescent="0.2">
      <c r="A5" s="6" t="s">
        <v>11</v>
      </c>
      <c r="B5" s="11" t="s">
        <v>12</v>
      </c>
      <c r="C5" s="8">
        <v>1500</v>
      </c>
      <c r="D5" s="9">
        <v>0</v>
      </c>
      <c r="E5" s="10">
        <v>5</v>
      </c>
    </row>
    <row r="6" spans="1:7" ht="14.25" customHeight="1" x14ac:dyDescent="0.2">
      <c r="A6" s="6" t="s">
        <v>13</v>
      </c>
      <c r="B6" s="7" t="s">
        <v>14</v>
      </c>
      <c r="C6" s="8">
        <v>1500</v>
      </c>
      <c r="D6" s="9">
        <v>0</v>
      </c>
      <c r="E6" s="10">
        <v>5</v>
      </c>
      <c r="G6" s="12"/>
    </row>
    <row r="7" spans="1:7" ht="14.25" customHeight="1" x14ac:dyDescent="0.2">
      <c r="A7" s="6" t="s">
        <v>15</v>
      </c>
      <c r="B7" s="7" t="s">
        <v>16</v>
      </c>
      <c r="C7" s="8">
        <v>1500</v>
      </c>
      <c r="D7" s="9">
        <v>0</v>
      </c>
      <c r="E7" s="10">
        <v>5</v>
      </c>
    </row>
    <row r="8" spans="1:7" ht="14.25" customHeight="1" x14ac:dyDescent="0.2">
      <c r="A8" s="6" t="s">
        <v>17</v>
      </c>
      <c r="B8" s="11" t="s">
        <v>18</v>
      </c>
      <c r="C8" s="8">
        <v>1500</v>
      </c>
      <c r="D8" s="9">
        <v>0</v>
      </c>
      <c r="E8" s="10">
        <v>5</v>
      </c>
    </row>
    <row r="9" spans="1:7" ht="14.25" customHeight="1" x14ac:dyDescent="0.2">
      <c r="A9" s="13" t="s">
        <v>19</v>
      </c>
      <c r="B9" s="7" t="s">
        <v>20</v>
      </c>
      <c r="C9" s="8">
        <v>1500</v>
      </c>
      <c r="D9" s="9">
        <v>0</v>
      </c>
      <c r="E9" s="10">
        <v>5</v>
      </c>
    </row>
    <row r="10" spans="1:7" ht="14.25" customHeight="1" x14ac:dyDescent="0.2">
      <c r="A10" s="6" t="s">
        <v>21</v>
      </c>
      <c r="B10" s="7" t="s">
        <v>22</v>
      </c>
      <c r="C10" s="8">
        <v>1500</v>
      </c>
      <c r="D10" s="9">
        <v>0</v>
      </c>
      <c r="E10" s="10">
        <v>5</v>
      </c>
    </row>
    <row r="11" spans="1:7" ht="14.25" customHeight="1" x14ac:dyDescent="0.2">
      <c r="A11" s="6" t="s">
        <v>23</v>
      </c>
      <c r="B11" s="11" t="s">
        <v>24</v>
      </c>
      <c r="C11" s="8">
        <v>1500</v>
      </c>
      <c r="D11" s="9">
        <v>0</v>
      </c>
      <c r="E11" s="10">
        <v>5</v>
      </c>
    </row>
    <row r="12" spans="1:7" ht="14.25" customHeight="1" x14ac:dyDescent="0.2">
      <c r="A12" s="6" t="s">
        <v>25</v>
      </c>
      <c r="B12" s="7" t="s">
        <v>26</v>
      </c>
      <c r="C12" s="8">
        <v>1500</v>
      </c>
      <c r="D12" s="9">
        <v>0</v>
      </c>
      <c r="E12" s="10">
        <v>5</v>
      </c>
    </row>
    <row r="13" spans="1:7" ht="14.25" customHeight="1" x14ac:dyDescent="0.2">
      <c r="A13" s="13" t="s">
        <v>27</v>
      </c>
      <c r="B13" s="7" t="s">
        <v>28</v>
      </c>
      <c r="C13" s="8">
        <v>1500</v>
      </c>
      <c r="D13" s="9">
        <v>0</v>
      </c>
      <c r="E13" s="10">
        <v>5</v>
      </c>
    </row>
    <row r="14" spans="1:7" ht="14.25" customHeight="1" x14ac:dyDescent="0.2">
      <c r="A14" s="6" t="s">
        <v>29</v>
      </c>
      <c r="B14" s="7" t="s">
        <v>30</v>
      </c>
      <c r="C14" s="8">
        <v>1500</v>
      </c>
      <c r="D14" s="9">
        <v>1500</v>
      </c>
      <c r="E14" s="10">
        <v>5</v>
      </c>
    </row>
    <row r="15" spans="1:7" ht="14.25" customHeight="1" x14ac:dyDescent="0.2">
      <c r="A15" s="14" t="s">
        <v>31</v>
      </c>
      <c r="B15" s="11" t="s">
        <v>32</v>
      </c>
      <c r="C15" s="8">
        <v>1500</v>
      </c>
      <c r="D15" s="9">
        <v>1500</v>
      </c>
      <c r="E15" s="10">
        <v>5</v>
      </c>
    </row>
    <row r="16" spans="1:7" ht="14.25" customHeight="1" x14ac:dyDescent="0.2">
      <c r="A16" s="6" t="s">
        <v>33</v>
      </c>
      <c r="B16" s="11" t="s">
        <v>34</v>
      </c>
      <c r="C16" s="8">
        <v>1500</v>
      </c>
      <c r="D16" s="9">
        <v>1500</v>
      </c>
      <c r="E16" s="10">
        <v>5</v>
      </c>
    </row>
    <row r="17" spans="1:5" ht="14.25" customHeight="1" x14ac:dyDescent="0.2">
      <c r="A17" s="6" t="s">
        <v>35</v>
      </c>
      <c r="B17" s="11" t="s">
        <v>36</v>
      </c>
      <c r="C17" s="8">
        <v>1500</v>
      </c>
      <c r="D17" s="9">
        <v>1500</v>
      </c>
      <c r="E17" s="10">
        <v>5</v>
      </c>
    </row>
    <row r="18" spans="1:5" ht="14.25" customHeight="1" x14ac:dyDescent="0.2">
      <c r="A18" s="6" t="s">
        <v>37</v>
      </c>
      <c r="B18" s="7" t="s">
        <v>38</v>
      </c>
      <c r="C18" s="8">
        <v>1500</v>
      </c>
      <c r="D18" s="9">
        <v>1500</v>
      </c>
      <c r="E18" s="10">
        <v>5</v>
      </c>
    </row>
    <row r="19" spans="1:5" ht="14.25" customHeight="1" x14ac:dyDescent="0.2">
      <c r="A19" s="6" t="s">
        <v>39</v>
      </c>
      <c r="B19" s="7" t="s">
        <v>40</v>
      </c>
      <c r="C19" s="8">
        <v>1500</v>
      </c>
      <c r="D19" s="9">
        <v>1500</v>
      </c>
      <c r="E19" s="10">
        <v>5</v>
      </c>
    </row>
    <row r="20" spans="1:5" ht="14.25" customHeight="1" x14ac:dyDescent="0.2">
      <c r="A20" s="6" t="s">
        <v>41</v>
      </c>
      <c r="B20" s="7" t="s">
        <v>42</v>
      </c>
      <c r="C20" s="8">
        <v>1500</v>
      </c>
      <c r="D20" s="9">
        <v>1500</v>
      </c>
      <c r="E20" s="10">
        <v>5</v>
      </c>
    </row>
    <row r="21" spans="1:5" ht="14.25" customHeight="1" x14ac:dyDescent="0.2">
      <c r="A21" s="6" t="s">
        <v>43</v>
      </c>
      <c r="B21" s="11" t="s">
        <v>44</v>
      </c>
      <c r="C21" s="8">
        <v>1500</v>
      </c>
      <c r="D21" s="9">
        <v>2000</v>
      </c>
      <c r="E21" s="10">
        <v>5</v>
      </c>
    </row>
    <row r="22" spans="1:5" ht="14.25" customHeight="1" x14ac:dyDescent="0.2">
      <c r="A22" s="6" t="s">
        <v>45</v>
      </c>
      <c r="B22" s="11" t="s">
        <v>46</v>
      </c>
      <c r="C22" s="8">
        <v>1500</v>
      </c>
      <c r="D22" s="9">
        <v>3000</v>
      </c>
      <c r="E22" s="10">
        <v>5</v>
      </c>
    </row>
    <row r="23" spans="1:5" ht="14.25" customHeight="1" x14ac:dyDescent="0.2">
      <c r="A23" s="6" t="s">
        <v>47</v>
      </c>
      <c r="B23" s="11" t="s">
        <v>48</v>
      </c>
      <c r="C23" s="8">
        <v>1500</v>
      </c>
      <c r="D23" s="9">
        <v>3000</v>
      </c>
      <c r="E23" s="10">
        <v>5</v>
      </c>
    </row>
    <row r="24" spans="1:5" ht="14.25" customHeight="1" x14ac:dyDescent="0.2">
      <c r="A24" s="6" t="s">
        <v>49</v>
      </c>
      <c r="B24" s="11" t="s">
        <v>50</v>
      </c>
      <c r="C24" s="8">
        <v>1500</v>
      </c>
      <c r="D24" s="9">
        <v>3000</v>
      </c>
      <c r="E24" s="10">
        <v>5</v>
      </c>
    </row>
    <row r="25" spans="1:5" ht="14.25" customHeight="1" x14ac:dyDescent="0.2">
      <c r="A25" s="6" t="s">
        <v>51</v>
      </c>
      <c r="B25" s="7" t="s">
        <v>52</v>
      </c>
      <c r="C25" s="8">
        <v>1500</v>
      </c>
      <c r="D25" s="9">
        <v>4500</v>
      </c>
      <c r="E25" s="10">
        <v>5</v>
      </c>
    </row>
    <row r="26" spans="1:5" ht="14.25" customHeight="1" x14ac:dyDescent="0.2">
      <c r="A26" s="6" t="s">
        <v>53</v>
      </c>
      <c r="B26" s="7" t="s">
        <v>54</v>
      </c>
      <c r="C26" s="8">
        <v>1500</v>
      </c>
      <c r="D26" s="9">
        <v>4500</v>
      </c>
      <c r="E26" s="10">
        <v>5</v>
      </c>
    </row>
    <row r="27" spans="1:5" ht="14.25" customHeight="1" x14ac:dyDescent="0.2">
      <c r="A27" s="6" t="s">
        <v>55</v>
      </c>
      <c r="B27" s="11" t="s">
        <v>56</v>
      </c>
      <c r="C27" s="8">
        <v>1500</v>
      </c>
      <c r="D27" s="9">
        <v>4500</v>
      </c>
      <c r="E27" s="10">
        <v>5</v>
      </c>
    </row>
    <row r="28" spans="1:5" ht="14.25" customHeight="1" x14ac:dyDescent="0.2">
      <c r="A28" s="6" t="s">
        <v>57</v>
      </c>
      <c r="B28" s="11" t="s">
        <v>58</v>
      </c>
      <c r="C28" s="8">
        <v>1500</v>
      </c>
      <c r="D28" s="9">
        <v>6000</v>
      </c>
      <c r="E28" s="10">
        <v>5</v>
      </c>
    </row>
    <row r="29" spans="1:5" ht="14.25" customHeight="1" x14ac:dyDescent="0.2">
      <c r="A29" s="15" t="s">
        <v>59</v>
      </c>
      <c r="B29" s="11" t="s">
        <v>60</v>
      </c>
      <c r="C29" s="8">
        <v>1500</v>
      </c>
      <c r="D29" s="9">
        <v>6000</v>
      </c>
      <c r="E29" s="10">
        <v>5</v>
      </c>
    </row>
    <row r="30" spans="1:5" ht="14.25" customHeight="1" x14ac:dyDescent="0.2">
      <c r="A30" s="6" t="s">
        <v>61</v>
      </c>
      <c r="B30" s="11" t="s">
        <v>62</v>
      </c>
      <c r="C30" s="8">
        <v>1500</v>
      </c>
      <c r="D30" s="9">
        <v>9000</v>
      </c>
      <c r="E30" s="10">
        <v>5</v>
      </c>
    </row>
    <row r="31" spans="1:5" ht="14.25" customHeight="1" x14ac:dyDescent="0.2">
      <c r="A31" s="6" t="s">
        <v>63</v>
      </c>
      <c r="B31" s="11" t="s">
        <v>64</v>
      </c>
      <c r="C31" s="8">
        <v>1500</v>
      </c>
      <c r="D31" s="9">
        <v>10500</v>
      </c>
      <c r="E31" s="10">
        <v>5</v>
      </c>
    </row>
    <row r="32" spans="1:5" ht="14.25" customHeight="1" x14ac:dyDescent="0.2">
      <c r="A32" s="6" t="s">
        <v>65</v>
      </c>
      <c r="B32" s="11" t="s">
        <v>66</v>
      </c>
      <c r="C32" s="8">
        <v>1500</v>
      </c>
      <c r="D32" s="9">
        <v>11000</v>
      </c>
      <c r="E32" s="10">
        <v>5</v>
      </c>
    </row>
    <row r="33" spans="1:5" ht="14.25" customHeight="1" x14ac:dyDescent="0.2">
      <c r="A33" s="6" t="s">
        <v>67</v>
      </c>
      <c r="B33" s="11" t="s">
        <v>68</v>
      </c>
      <c r="C33" s="8">
        <v>1500</v>
      </c>
      <c r="D33" s="9">
        <v>15000</v>
      </c>
      <c r="E33" s="10">
        <v>5</v>
      </c>
    </row>
    <row r="34" spans="1:5" ht="14.25" customHeight="1" x14ac:dyDescent="0.2">
      <c r="A34" s="6" t="s">
        <v>69</v>
      </c>
      <c r="B34" s="7" t="s">
        <v>70</v>
      </c>
      <c r="C34" s="8">
        <v>1500</v>
      </c>
      <c r="D34" s="9">
        <v>15000</v>
      </c>
      <c r="E34" s="10">
        <v>5</v>
      </c>
    </row>
    <row r="35" spans="1:5" ht="14.25" customHeight="1" x14ac:dyDescent="0.2">
      <c r="A35" s="6" t="s">
        <v>71</v>
      </c>
      <c r="B35" s="11" t="s">
        <v>72</v>
      </c>
      <c r="C35" s="8">
        <v>1500</v>
      </c>
      <c r="D35" s="9">
        <v>15000</v>
      </c>
      <c r="E35" s="10">
        <v>5</v>
      </c>
    </row>
    <row r="36" spans="1:5" ht="14.25" customHeight="1" x14ac:dyDescent="0.2">
      <c r="A36" s="6" t="s">
        <v>73</v>
      </c>
      <c r="B36" s="11" t="s">
        <v>74</v>
      </c>
      <c r="C36" s="8">
        <v>1500</v>
      </c>
      <c r="D36" s="9">
        <v>16500</v>
      </c>
      <c r="E36" s="10">
        <v>5</v>
      </c>
    </row>
    <row r="37" spans="1:5" ht="14.25" customHeight="1" x14ac:dyDescent="0.2">
      <c r="A37" s="6" t="s">
        <v>75</v>
      </c>
      <c r="B37" s="11" t="s">
        <v>76</v>
      </c>
      <c r="C37" s="8">
        <v>1500</v>
      </c>
      <c r="D37" s="9">
        <v>16500</v>
      </c>
      <c r="E37" s="10">
        <v>5</v>
      </c>
    </row>
    <row r="38" spans="1:5" ht="14.25" customHeight="1" x14ac:dyDescent="0.2">
      <c r="A38" s="6" t="s">
        <v>77</v>
      </c>
      <c r="B38" s="7" t="s">
        <v>78</v>
      </c>
      <c r="C38" s="8">
        <v>1500</v>
      </c>
      <c r="D38" s="9">
        <v>17000</v>
      </c>
      <c r="E38" s="10">
        <v>5</v>
      </c>
    </row>
    <row r="39" spans="1:5" ht="14.25" customHeight="1" x14ac:dyDescent="0.2">
      <c r="A39" s="6" t="s">
        <v>79</v>
      </c>
      <c r="B39" s="7" t="s">
        <v>80</v>
      </c>
      <c r="C39" s="8">
        <v>1500</v>
      </c>
      <c r="D39" s="9">
        <v>18000</v>
      </c>
      <c r="E39" s="10">
        <v>5</v>
      </c>
    </row>
    <row r="40" spans="1:5" ht="14.25" customHeight="1" x14ac:dyDescent="0.2">
      <c r="A40" s="6" t="s">
        <v>81</v>
      </c>
      <c r="B40" s="7" t="s">
        <v>82</v>
      </c>
      <c r="C40" s="8">
        <v>1500</v>
      </c>
      <c r="D40" s="9">
        <v>18000</v>
      </c>
      <c r="E40" s="10">
        <v>5</v>
      </c>
    </row>
    <row r="41" spans="1:5" ht="14.25" customHeight="1" x14ac:dyDescent="0.2">
      <c r="A41" s="6" t="s">
        <v>83</v>
      </c>
      <c r="B41" s="7" t="s">
        <v>84</v>
      </c>
      <c r="C41" s="8">
        <v>1500</v>
      </c>
      <c r="D41" s="9">
        <v>19500</v>
      </c>
      <c r="E41" s="10">
        <v>5</v>
      </c>
    </row>
    <row r="42" spans="1:5" ht="14.25" customHeight="1" x14ac:dyDescent="0.2">
      <c r="A42" s="6" t="s">
        <v>85</v>
      </c>
      <c r="B42" s="7" t="s">
        <v>86</v>
      </c>
      <c r="C42" s="8">
        <v>1500</v>
      </c>
      <c r="D42" s="9">
        <v>27000</v>
      </c>
      <c r="E42" s="10">
        <v>5</v>
      </c>
    </row>
    <row r="43" spans="1:5" ht="14.25" customHeight="1" x14ac:dyDescent="0.2">
      <c r="A43" s="6" t="s">
        <v>87</v>
      </c>
      <c r="B43" s="7" t="s">
        <v>88</v>
      </c>
      <c r="C43" s="8">
        <v>1500</v>
      </c>
      <c r="D43" s="9">
        <v>31500</v>
      </c>
      <c r="E43" s="10">
        <v>5</v>
      </c>
    </row>
    <row r="44" spans="1:5" ht="14.25" customHeight="1" x14ac:dyDescent="0.2">
      <c r="A44" s="6" t="s">
        <v>89</v>
      </c>
      <c r="B44" s="11" t="s">
        <v>82</v>
      </c>
      <c r="C44" s="8">
        <v>1500</v>
      </c>
      <c r="D44" s="9">
        <v>31500</v>
      </c>
      <c r="E44" s="10">
        <v>5</v>
      </c>
    </row>
    <row r="45" spans="1:5" ht="14.25" customHeight="1" x14ac:dyDescent="0.2">
      <c r="A45" s="6" t="s">
        <v>90</v>
      </c>
      <c r="B45" s="11" t="s">
        <v>91</v>
      </c>
      <c r="C45" s="8">
        <v>1500</v>
      </c>
      <c r="D45" s="9">
        <v>35500</v>
      </c>
      <c r="E45" s="10">
        <v>5</v>
      </c>
    </row>
    <row r="46" spans="1:5" ht="14.25" customHeight="1" x14ac:dyDescent="0.2">
      <c r="A46" s="6" t="s">
        <v>92</v>
      </c>
      <c r="B46" s="11" t="s">
        <v>93</v>
      </c>
      <c r="C46" s="8">
        <v>1500</v>
      </c>
      <c r="D46" s="9">
        <v>39000</v>
      </c>
      <c r="E46" s="10">
        <v>5</v>
      </c>
    </row>
    <row r="47" spans="1:5" ht="14.25" customHeight="1" x14ac:dyDescent="0.2">
      <c r="A47" s="6" t="s">
        <v>94</v>
      </c>
      <c r="B47" s="11" t="s">
        <v>95</v>
      </c>
      <c r="C47" s="8">
        <v>1500</v>
      </c>
      <c r="D47" s="9">
        <v>41000</v>
      </c>
      <c r="E47" s="10">
        <v>5</v>
      </c>
    </row>
    <row r="48" spans="1:5" ht="14.25" customHeight="1" x14ac:dyDescent="0.2">
      <c r="A48" s="6" t="s">
        <v>96</v>
      </c>
      <c r="B48" s="11" t="s">
        <v>97</v>
      </c>
      <c r="C48" s="8">
        <v>1500</v>
      </c>
      <c r="D48" s="9">
        <v>56000</v>
      </c>
      <c r="E48" s="10">
        <v>5</v>
      </c>
    </row>
    <row r="49" spans="1:5" ht="14.25" customHeight="1" x14ac:dyDescent="0.2">
      <c r="A49" s="16" t="s">
        <v>98</v>
      </c>
      <c r="B49" s="7" t="s">
        <v>99</v>
      </c>
      <c r="C49" s="8">
        <v>1500</v>
      </c>
      <c r="D49" s="17">
        <v>-6000</v>
      </c>
      <c r="E49" s="10">
        <v>5</v>
      </c>
    </row>
    <row r="50" spans="1:5" ht="14.25" customHeight="1" x14ac:dyDescent="0.2">
      <c r="A50" s="16" t="s">
        <v>100</v>
      </c>
      <c r="B50" s="7" t="s">
        <v>101</v>
      </c>
      <c r="C50" s="8">
        <v>1500</v>
      </c>
      <c r="D50" s="17">
        <v>-4500</v>
      </c>
      <c r="E50" s="10">
        <v>5</v>
      </c>
    </row>
    <row r="51" spans="1:5" ht="14.25" customHeight="1" x14ac:dyDescent="0.2">
      <c r="A51" s="16" t="s">
        <v>102</v>
      </c>
      <c r="B51" s="7" t="s">
        <v>103</v>
      </c>
      <c r="C51" s="8">
        <v>1500</v>
      </c>
      <c r="D51" s="17">
        <v>-1500</v>
      </c>
      <c r="E51" s="10">
        <v>5</v>
      </c>
    </row>
    <row r="52" spans="1:5" ht="14.25" customHeight="1" x14ac:dyDescent="0.2">
      <c r="A52" s="16" t="s">
        <v>104</v>
      </c>
      <c r="B52" s="7" t="s">
        <v>105</v>
      </c>
      <c r="C52" s="8">
        <v>1500</v>
      </c>
      <c r="D52" s="17">
        <v>-1500</v>
      </c>
      <c r="E52" s="10">
        <v>5</v>
      </c>
    </row>
    <row r="53" spans="1:5" ht="14.25" customHeight="1" x14ac:dyDescent="0.2">
      <c r="A53" s="16" t="s">
        <v>106</v>
      </c>
      <c r="B53" s="7" t="s">
        <v>107</v>
      </c>
      <c r="C53" s="8">
        <v>1500</v>
      </c>
      <c r="D53" s="17">
        <v>-500</v>
      </c>
      <c r="E53" s="10">
        <v>5</v>
      </c>
    </row>
    <row r="55" spans="1:5" ht="15.75" customHeight="1" x14ac:dyDescent="0.2">
      <c r="D55" s="18">
        <f>SUM(Table2[Opening Balance (as of Jan-01-2026)])</f>
        <v>475500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35"/>
  <sheetViews>
    <sheetView topLeftCell="A104" zoomScaleNormal="100" workbookViewId="0">
      <selection activeCell="C125" sqref="C125"/>
    </sheetView>
  </sheetViews>
  <sheetFormatPr defaultColWidth="12.5703125" defaultRowHeight="15.75" customHeight="1" x14ac:dyDescent="0.2"/>
  <cols>
    <col min="1" max="1" width="17.7109375" customWidth="1"/>
    <col min="2" max="2" width="12.5703125" style="19" customWidth="1"/>
    <col min="3" max="3" width="13.42578125" bestFit="1" customWidth="1"/>
    <col min="4" max="4" width="49" customWidth="1"/>
    <col min="5" max="5" width="27.42578125" customWidth="1"/>
    <col min="6" max="6" width="19" customWidth="1"/>
    <col min="7" max="7" width="51.42578125" customWidth="1"/>
    <col min="8" max="8" width="19" customWidth="1"/>
    <col min="9" max="9" width="29" customWidth="1"/>
    <col min="10" max="10" width="7.7109375" customWidth="1"/>
    <col min="11" max="11" width="32.5703125" customWidth="1"/>
    <col min="12" max="12" width="33.5703125" customWidth="1"/>
    <col min="13" max="13" width="16" customWidth="1"/>
    <col min="14" max="14" width="13.140625" customWidth="1"/>
    <col min="15" max="15" width="21.42578125" customWidth="1"/>
    <col min="16" max="16" width="13.85546875" customWidth="1"/>
    <col min="17" max="17" width="32.28515625" customWidth="1"/>
    <col min="18" max="19" width="12.42578125" customWidth="1"/>
    <col min="20" max="20" width="19.5703125" customWidth="1"/>
    <col min="21" max="21" width="23.140625" customWidth="1"/>
    <col min="22" max="22" width="19" customWidth="1"/>
    <col min="23" max="23" width="18.28515625" customWidth="1"/>
    <col min="24" max="24" width="43.42578125" customWidth="1"/>
    <col min="25" max="25" width="30.7109375" customWidth="1"/>
    <col min="26" max="26" width="11.7109375" customWidth="1"/>
  </cols>
  <sheetData>
    <row r="1" spans="1:4" ht="19.5" customHeight="1" x14ac:dyDescent="0.2">
      <c r="A1" s="20" t="s">
        <v>108</v>
      </c>
      <c r="B1" s="21" t="s">
        <v>109</v>
      </c>
      <c r="C1" s="22" t="s">
        <v>110</v>
      </c>
      <c r="D1" s="23" t="s">
        <v>111</v>
      </c>
    </row>
    <row r="2" spans="1:4" ht="19.5" customHeight="1" x14ac:dyDescent="0.2">
      <c r="A2" s="24">
        <v>46023</v>
      </c>
      <c r="B2" s="21" t="s">
        <v>11</v>
      </c>
      <c r="C2" s="25">
        <v>1500</v>
      </c>
      <c r="D2" s="26" t="str">
        <f>VLOOKUP(B2,Owner_Master!$A$1:$B$53,2,FALSE())</f>
        <v xml:space="preserve">Malathy Sundaram </v>
      </c>
    </row>
    <row r="3" spans="1:4" ht="19.5" customHeight="1" x14ac:dyDescent="0.2">
      <c r="A3" s="24">
        <v>46023</v>
      </c>
      <c r="B3" s="21" t="s">
        <v>9</v>
      </c>
      <c r="C3" s="25">
        <v>1500</v>
      </c>
      <c r="D3" s="26" t="str">
        <f>VLOOKUP(B3,Owner_Master!$A$1:$B$53,2,FALSE())</f>
        <v>Latish Babu</v>
      </c>
    </row>
    <row r="4" spans="1:4" ht="19.5" customHeight="1" x14ac:dyDescent="0.2">
      <c r="A4" s="24">
        <v>46023</v>
      </c>
      <c r="B4" s="21" t="s">
        <v>13</v>
      </c>
      <c r="C4" s="25">
        <v>1500</v>
      </c>
      <c r="D4" s="26" t="str">
        <f>VLOOKUP(B4,Owner_Master!$A$1:$B$53,2,FALSE())</f>
        <v>M .Kalaivani Chandramohan</v>
      </c>
    </row>
    <row r="5" spans="1:4" ht="19.5" customHeight="1" x14ac:dyDescent="0.2">
      <c r="A5" s="24">
        <v>46024</v>
      </c>
      <c r="B5" s="21" t="s">
        <v>47</v>
      </c>
      <c r="C5" s="25">
        <v>1500</v>
      </c>
      <c r="D5" s="26" t="str">
        <f>VLOOKUP(B5,Owner_Master!$A$1:$B$53,2,FALSE())</f>
        <v>N.Naveenkumar &amp; G.Mahalakshmi</v>
      </c>
    </row>
    <row r="6" spans="1:4" ht="19.5" customHeight="1" x14ac:dyDescent="0.2">
      <c r="A6" s="24">
        <v>46024</v>
      </c>
      <c r="B6" s="21" t="s">
        <v>19</v>
      </c>
      <c r="C6" s="25">
        <v>1500</v>
      </c>
      <c r="D6" s="26" t="str">
        <f>VLOOKUP(B6,Owner_Master!$A$1:$B$53,2,FALSE())</f>
        <v xml:space="preserve">Bhagath </v>
      </c>
    </row>
    <row r="7" spans="1:4" ht="19.5" customHeight="1" x14ac:dyDescent="0.2">
      <c r="A7" s="24">
        <v>46024</v>
      </c>
      <c r="B7" s="21" t="s">
        <v>27</v>
      </c>
      <c r="C7" s="25">
        <v>1500</v>
      </c>
      <c r="D7" s="26" t="str">
        <f>VLOOKUP(B7,Owner_Master!$A$1:$B$53,2,FALSE())</f>
        <v>Rajesh Babu Krishnan</v>
      </c>
    </row>
    <row r="8" spans="1:4" ht="19.5" customHeight="1" x14ac:dyDescent="0.2">
      <c r="A8" s="24">
        <v>46025</v>
      </c>
      <c r="B8" s="21" t="s">
        <v>33</v>
      </c>
      <c r="C8" s="25">
        <v>3000</v>
      </c>
      <c r="D8" s="26" t="str">
        <f>VLOOKUP(B8,Owner_Master!$A$1:$B$53,2,FALSE())</f>
        <v>Selvendran Ayyaswamy</v>
      </c>
    </row>
    <row r="9" spans="1:4" ht="19.5" customHeight="1" x14ac:dyDescent="0.2">
      <c r="A9" s="24">
        <v>46025</v>
      </c>
      <c r="B9" s="21" t="s">
        <v>39</v>
      </c>
      <c r="C9" s="25">
        <v>3000</v>
      </c>
      <c r="D9" s="26" t="str">
        <f>VLOOKUP(B9,Owner_Master!$A$1:$B$53,2,FALSE())</f>
        <v>Thejaswini &amp; Mahadeva Swamy</v>
      </c>
    </row>
    <row r="10" spans="1:4" ht="19.5" customHeight="1" x14ac:dyDescent="0.2">
      <c r="A10" s="24">
        <v>46029</v>
      </c>
      <c r="B10" s="21" t="s">
        <v>7</v>
      </c>
      <c r="C10" s="25">
        <v>1500</v>
      </c>
      <c r="D10" s="26" t="str">
        <f>VLOOKUP(B10,Owner_Master!$A$1:$B$53,2,FALSE())</f>
        <v>R.Chetan Kumar</v>
      </c>
    </row>
    <row r="11" spans="1:4" ht="19.5" customHeight="1" x14ac:dyDescent="0.2">
      <c r="A11" s="24">
        <v>46029</v>
      </c>
      <c r="B11" s="21" t="s">
        <v>57</v>
      </c>
      <c r="C11" s="25">
        <v>4500</v>
      </c>
      <c r="D11" s="26" t="str">
        <f>VLOOKUP(B11,Owner_Master!$A$1:$B$53,2,FALSE())</f>
        <v>Manikandan Kumar  &amp; Rakeshwari</v>
      </c>
    </row>
    <row r="12" spans="1:4" ht="19.5" customHeight="1" x14ac:dyDescent="0.2">
      <c r="A12" s="24">
        <v>46030</v>
      </c>
      <c r="B12" s="21" t="s">
        <v>83</v>
      </c>
      <c r="C12" s="25">
        <v>1500</v>
      </c>
      <c r="D12" s="26" t="str">
        <f>VLOOKUP(B12,Owner_Master!$A$1:$B$53,2,FALSE())</f>
        <v xml:space="preserve">K. Ramji </v>
      </c>
    </row>
    <row r="13" spans="1:4" ht="19.5" customHeight="1" x14ac:dyDescent="0.2">
      <c r="A13" s="24">
        <v>46031</v>
      </c>
      <c r="B13" s="21" t="s">
        <v>96</v>
      </c>
      <c r="C13" s="25">
        <v>1500</v>
      </c>
      <c r="D13" s="26" t="str">
        <f>VLOOKUP(B13,Owner_Master!$A$1:$B$53,2,FALSE())</f>
        <v>K. Suseela</v>
      </c>
    </row>
    <row r="14" spans="1:4" ht="19.5" customHeight="1" x14ac:dyDescent="0.2">
      <c r="A14" s="24">
        <v>46033</v>
      </c>
      <c r="B14" s="21" t="s">
        <v>17</v>
      </c>
      <c r="C14" s="25">
        <v>1500</v>
      </c>
      <c r="D14" s="26" t="str">
        <f>VLOOKUP(B14,Owner_Master!$A$1:$B$53,2,FALSE())</f>
        <v xml:space="preserve">S.Rajeswari </v>
      </c>
    </row>
    <row r="15" spans="1:4" ht="19.5" customHeight="1" x14ac:dyDescent="0.2">
      <c r="A15" s="24">
        <v>46034</v>
      </c>
      <c r="B15" s="21" t="s">
        <v>15</v>
      </c>
      <c r="C15" s="25">
        <v>1500</v>
      </c>
      <c r="D15" s="26" t="str">
        <f>VLOOKUP(B15,Owner_Master!$A$1:$B$53,2,FALSE())</f>
        <v>S.V. Sanjeev Kumar</v>
      </c>
    </row>
    <row r="16" spans="1:4" ht="19.5" customHeight="1" x14ac:dyDescent="0.2">
      <c r="A16" s="24">
        <v>46035</v>
      </c>
      <c r="B16" s="21" t="s">
        <v>29</v>
      </c>
      <c r="C16" s="25">
        <v>1500</v>
      </c>
      <c r="D16" s="26" t="str">
        <f>VLOOKUP(B16,Owner_Master!$A$1:$B$53,2,FALSE())</f>
        <v>Shyamala Krishnan</v>
      </c>
    </row>
    <row r="17" spans="1:4" ht="19.5" customHeight="1" x14ac:dyDescent="0.2">
      <c r="A17" s="24">
        <v>46041</v>
      </c>
      <c r="B17" s="21" t="s">
        <v>5</v>
      </c>
      <c r="C17" s="25">
        <v>1500</v>
      </c>
      <c r="D17" s="26" t="str">
        <f>VLOOKUP(B17,Owner_Master!$A$1:$B$53,2,FALSE())</f>
        <v xml:space="preserve">Balamurugan </v>
      </c>
    </row>
    <row r="18" spans="1:4" ht="19.5" customHeight="1" x14ac:dyDescent="0.2">
      <c r="A18" s="24">
        <v>46041</v>
      </c>
      <c r="B18" s="21" t="s">
        <v>94</v>
      </c>
      <c r="C18" s="25">
        <v>1500</v>
      </c>
      <c r="D18" s="26" t="str">
        <f>VLOOKUP(B18,Owner_Master!$A$1:$B$53,2,FALSE())</f>
        <v>K.Thanikai Arasu</v>
      </c>
    </row>
    <row r="19" spans="1:4" ht="19.5" customHeight="1" x14ac:dyDescent="0.2">
      <c r="A19" s="24">
        <v>46042</v>
      </c>
      <c r="B19" s="21" t="s">
        <v>92</v>
      </c>
      <c r="C19" s="25">
        <v>10000</v>
      </c>
      <c r="D19" s="26" t="str">
        <f>VLOOKUP(B19,Owner_Master!$A$1:$B$53,2,FALSE())</f>
        <v>Ganesan &amp; Anitha</v>
      </c>
    </row>
    <row r="20" spans="1:4" ht="19.5" customHeight="1" x14ac:dyDescent="0.2">
      <c r="A20" s="24">
        <v>46042</v>
      </c>
      <c r="B20" s="21" t="s">
        <v>85</v>
      </c>
      <c r="C20" s="25">
        <v>36000</v>
      </c>
      <c r="D20" s="26" t="str">
        <f>VLOOKUP(B20,Owner_Master!$A$1:$B$53,2,FALSE())</f>
        <v>S Krishnamoorthy &amp; Dr D Champa</v>
      </c>
    </row>
    <row r="21" spans="1:4" ht="19.5" customHeight="1" x14ac:dyDescent="0.2">
      <c r="A21" s="24">
        <v>46046</v>
      </c>
      <c r="B21" s="21" t="s">
        <v>45</v>
      </c>
      <c r="C21" s="25">
        <v>3000</v>
      </c>
      <c r="D21" s="26" t="str">
        <f>VLOOKUP(B21,Owner_Master!$A$1:$B$53,2,FALSE())</f>
        <v>D. Abhimanyu &amp; Amrutha Abhimanyu</v>
      </c>
    </row>
    <row r="22" spans="1:4" ht="19.5" customHeight="1" x14ac:dyDescent="0.2">
      <c r="A22" s="24">
        <v>46054</v>
      </c>
      <c r="B22" s="21" t="s">
        <v>11</v>
      </c>
      <c r="C22" s="25">
        <v>1500</v>
      </c>
      <c r="D22" s="26" t="str">
        <f>VLOOKUP(B22,Owner_Master!$A$1:$B$53,2,FALSE())</f>
        <v xml:space="preserve">Malathy Sundaram </v>
      </c>
    </row>
    <row r="23" spans="1:4" ht="19.5" customHeight="1" x14ac:dyDescent="0.2">
      <c r="A23" s="24">
        <v>46054</v>
      </c>
      <c r="B23" s="21" t="s">
        <v>9</v>
      </c>
      <c r="C23" s="25">
        <v>1500</v>
      </c>
      <c r="D23" s="26" t="str">
        <f>VLOOKUP(B23,Owner_Master!$A$1:$B$53,2,FALSE())</f>
        <v>Latish Babu</v>
      </c>
    </row>
    <row r="24" spans="1:4" ht="19.5" customHeight="1" x14ac:dyDescent="0.2">
      <c r="A24" s="24">
        <v>46055</v>
      </c>
      <c r="B24" s="21" t="s">
        <v>5</v>
      </c>
      <c r="C24" s="25">
        <v>1500</v>
      </c>
      <c r="D24" s="26" t="str">
        <f>VLOOKUP(B24,Owner_Master!$A$1:$B$53,2,FALSE())</f>
        <v xml:space="preserve">Balamurugan </v>
      </c>
    </row>
    <row r="25" spans="1:4" ht="19.5" customHeight="1" x14ac:dyDescent="0.2">
      <c r="A25" s="24">
        <v>46055</v>
      </c>
      <c r="B25" s="21" t="s">
        <v>47</v>
      </c>
      <c r="C25" s="25">
        <v>1500</v>
      </c>
      <c r="D25" s="26" t="str">
        <f>VLOOKUP(B25,Owner_Master!$A$1:$B$53,2,FALSE())</f>
        <v>N.Naveenkumar &amp; G.Mahalakshmi</v>
      </c>
    </row>
    <row r="26" spans="1:4" ht="19.5" customHeight="1" x14ac:dyDescent="0.2">
      <c r="A26" s="24">
        <v>46055</v>
      </c>
      <c r="B26" s="21" t="s">
        <v>27</v>
      </c>
      <c r="C26" s="25">
        <v>1500</v>
      </c>
      <c r="D26" s="26" t="str">
        <f>VLOOKUP(B26,Owner_Master!$A$1:$B$53,2,FALSE())</f>
        <v>Rajesh Babu Krishnan</v>
      </c>
    </row>
    <row r="27" spans="1:4" ht="19.5" customHeight="1" x14ac:dyDescent="0.2">
      <c r="A27" s="24">
        <v>46056</v>
      </c>
      <c r="B27" s="21" t="s">
        <v>83</v>
      </c>
      <c r="C27" s="25">
        <v>21000</v>
      </c>
      <c r="D27" s="26" t="str">
        <f>VLOOKUP(B27,Owner_Master!$A$1:$B$53,2,FALSE())</f>
        <v xml:space="preserve">K. Ramji </v>
      </c>
    </row>
    <row r="28" spans="1:4" ht="19.5" customHeight="1" x14ac:dyDescent="0.2">
      <c r="A28" s="24">
        <v>46058</v>
      </c>
      <c r="B28" s="21" t="s">
        <v>19</v>
      </c>
      <c r="C28" s="25">
        <v>1500</v>
      </c>
      <c r="D28" s="26" t="str">
        <f>VLOOKUP(B28,Owner_Master!$A$1:$B$53,2,FALSE())</f>
        <v xml:space="preserve">Bhagath </v>
      </c>
    </row>
    <row r="29" spans="1:4" ht="19.5" customHeight="1" x14ac:dyDescent="0.2">
      <c r="A29" s="24">
        <v>46058</v>
      </c>
      <c r="B29" s="21" t="s">
        <v>59</v>
      </c>
      <c r="C29" s="25">
        <v>4500</v>
      </c>
      <c r="D29" s="26" t="str">
        <f>VLOOKUP(B29,Owner_Master!$A$1:$B$53,2,FALSE())</f>
        <v xml:space="preserve">N.Muthu Sivasakthi &amp; G.Meera </v>
      </c>
    </row>
    <row r="30" spans="1:4" ht="19.5" customHeight="1" x14ac:dyDescent="0.2">
      <c r="A30" s="24">
        <v>46059</v>
      </c>
      <c r="B30" s="21" t="s">
        <v>92</v>
      </c>
      <c r="C30" s="25">
        <v>30000</v>
      </c>
      <c r="D30" s="26" t="str">
        <f>VLOOKUP(B30,Owner_Master!$A$1:$B$53,2,FALSE())</f>
        <v>Ganesan &amp; Anitha</v>
      </c>
    </row>
    <row r="31" spans="1:4" ht="19.5" customHeight="1" x14ac:dyDescent="0.2">
      <c r="A31" s="24">
        <v>46060</v>
      </c>
      <c r="B31" s="21" t="s">
        <v>7</v>
      </c>
      <c r="C31" s="25">
        <v>1500</v>
      </c>
      <c r="D31" s="26" t="str">
        <f>VLOOKUP(B31,Owner_Master!$A$1:$B$53,2,FALSE())</f>
        <v>R.Chetan Kumar</v>
      </c>
    </row>
    <row r="32" spans="1:4" ht="19.5" customHeight="1" x14ac:dyDescent="0.2">
      <c r="A32" s="24">
        <v>46060</v>
      </c>
      <c r="B32" s="21" t="s">
        <v>39</v>
      </c>
      <c r="C32" s="25">
        <v>1500</v>
      </c>
      <c r="D32" s="26" t="str">
        <f>VLOOKUP(B32,Owner_Master!$A$1:$B$53,2,FALSE())</f>
        <v>Thejaswini &amp; Mahadeva Swamy</v>
      </c>
    </row>
    <row r="33" spans="1:4" ht="19.5" customHeight="1" x14ac:dyDescent="0.2">
      <c r="A33" s="24">
        <v>46061</v>
      </c>
      <c r="B33" s="21" t="s">
        <v>96</v>
      </c>
      <c r="C33" s="25">
        <v>1500</v>
      </c>
      <c r="D33" s="26" t="str">
        <f>VLOOKUP(B33,Owner_Master!$A$1:$B$53,2,FALSE())</f>
        <v>K. Suseela</v>
      </c>
    </row>
    <row r="34" spans="1:4" ht="19.5" customHeight="1" x14ac:dyDescent="0.2">
      <c r="A34" s="24">
        <v>46061</v>
      </c>
      <c r="B34" s="21" t="s">
        <v>41</v>
      </c>
      <c r="C34" s="25">
        <v>4500</v>
      </c>
      <c r="D34" s="26" t="str">
        <f>VLOOKUP(B34,Owner_Master!$A$1:$B$53,2,FALSE())</f>
        <v>Lt.Col Vimla VR (Retd)</v>
      </c>
    </row>
    <row r="35" spans="1:4" ht="19.5" customHeight="1" x14ac:dyDescent="0.2">
      <c r="A35" s="24">
        <v>46065</v>
      </c>
      <c r="B35" s="21" t="s">
        <v>15</v>
      </c>
      <c r="C35" s="25">
        <v>1500</v>
      </c>
      <c r="D35" s="26" t="str">
        <f>VLOOKUP(B35,Owner_Master!$A$1:$B$53,2,FALSE())</f>
        <v>S.V. Sanjeev Kumar</v>
      </c>
    </row>
    <row r="36" spans="1:4" ht="19.5" customHeight="1" x14ac:dyDescent="0.2">
      <c r="A36" s="24">
        <v>46065</v>
      </c>
      <c r="B36" s="21" t="s">
        <v>94</v>
      </c>
      <c r="C36" s="25">
        <v>1500</v>
      </c>
      <c r="D36" s="26" t="str">
        <f>VLOOKUP(B36,Owner_Master!$A$1:$B$53,2,FALSE())</f>
        <v>K.Thanikai Arasu</v>
      </c>
    </row>
    <row r="37" spans="1:4" ht="19.5" customHeight="1" x14ac:dyDescent="0.2">
      <c r="A37" s="24">
        <v>46068</v>
      </c>
      <c r="B37" s="21" t="s">
        <v>33</v>
      </c>
      <c r="C37" s="25">
        <v>3000</v>
      </c>
      <c r="D37" s="26" t="str">
        <f>VLOOKUP(B37,Owner_Master!$A$1:$B$53,2,FALSE())</f>
        <v>Selvendran Ayyaswamy</v>
      </c>
    </row>
    <row r="38" spans="1:4" ht="19.5" customHeight="1" x14ac:dyDescent="0.2">
      <c r="A38" s="24">
        <v>46068</v>
      </c>
      <c r="B38" s="21" t="s">
        <v>65</v>
      </c>
      <c r="C38" s="25">
        <v>15500</v>
      </c>
      <c r="D38" s="26" t="str">
        <f>VLOOKUP(B38,Owner_Master!$A$1:$B$53,2,FALSE())</f>
        <v>S.Periasamy</v>
      </c>
    </row>
    <row r="39" spans="1:4" ht="19.5" customHeight="1" x14ac:dyDescent="0.2">
      <c r="A39" s="24">
        <v>46068</v>
      </c>
      <c r="B39" s="21" t="s">
        <v>57</v>
      </c>
      <c r="C39" s="25">
        <v>4500</v>
      </c>
      <c r="D39" s="26" t="str">
        <f>VLOOKUP(B39,Owner_Master!$A$1:$B$53,2,FALSE())</f>
        <v>Manikandan Kumar  &amp; Rakeshwari</v>
      </c>
    </row>
    <row r="40" spans="1:4" ht="19.5" customHeight="1" x14ac:dyDescent="0.2">
      <c r="A40" s="24">
        <v>46069</v>
      </c>
      <c r="B40" s="21" t="s">
        <v>43</v>
      </c>
      <c r="C40" s="25">
        <v>2500</v>
      </c>
      <c r="D40" s="26" t="str">
        <f>VLOOKUP(B40,Owner_Master!$A$1:$B$53,2,FALSE())</f>
        <v xml:space="preserve">Maruthachlamurthi </v>
      </c>
    </row>
    <row r="41" spans="1:4" ht="19.5" customHeight="1" x14ac:dyDescent="0.2">
      <c r="A41" s="24">
        <v>46070</v>
      </c>
      <c r="B41" s="21" t="s">
        <v>13</v>
      </c>
      <c r="C41" s="25">
        <v>3000</v>
      </c>
      <c r="D41" s="26" t="str">
        <f>VLOOKUP(B41,Owner_Master!$A$1:$B$53,2,FALSE())</f>
        <v>M .Kalaivani Chandramohan</v>
      </c>
    </row>
    <row r="42" spans="1:4" ht="19.5" customHeight="1" x14ac:dyDescent="0.2">
      <c r="A42" s="24">
        <v>46070</v>
      </c>
      <c r="B42" s="21" t="s">
        <v>104</v>
      </c>
      <c r="C42" s="25">
        <v>3000</v>
      </c>
      <c r="D42" s="26" t="str">
        <f>VLOOKUP(B42,Owner_Master!$A$1:$B$53,2,FALSE())</f>
        <v>N. Jaya</v>
      </c>
    </row>
    <row r="43" spans="1:4" ht="19.5" customHeight="1" x14ac:dyDescent="0.2">
      <c r="A43" s="24">
        <v>46070</v>
      </c>
      <c r="B43" s="21" t="s">
        <v>17</v>
      </c>
      <c r="C43" s="25">
        <v>1500</v>
      </c>
      <c r="D43" s="26" t="str">
        <f>VLOOKUP(B43,Owner_Master!$A$1:$B$53,2,FALSE())</f>
        <v xml:space="preserve">S.Rajeswari </v>
      </c>
    </row>
    <row r="44" spans="1:4" ht="19.5" customHeight="1" x14ac:dyDescent="0.2">
      <c r="A44" s="24">
        <v>46070</v>
      </c>
      <c r="B44" s="21" t="s">
        <v>89</v>
      </c>
      <c r="C44" s="25">
        <v>22500</v>
      </c>
      <c r="D44" s="26" t="str">
        <f>VLOOKUP(B44,Owner_Master!$A$1:$B$53,2,FALSE())</f>
        <v>N.Rajkumar &amp; A.Judith Mary Deepa</v>
      </c>
    </row>
    <row r="45" spans="1:4" ht="19.5" customHeight="1" x14ac:dyDescent="0.2">
      <c r="A45" s="24">
        <v>46072</v>
      </c>
      <c r="B45" s="21" t="s">
        <v>102</v>
      </c>
      <c r="C45" s="25">
        <v>3000</v>
      </c>
      <c r="D45" s="26" t="str">
        <f>VLOOKUP(B45,Owner_Master!$A$1:$B$53,2,FALSE())</f>
        <v xml:space="preserve">Dr G.K.Kiran Adithya </v>
      </c>
    </row>
    <row r="46" spans="1:4" ht="19.5" customHeight="1" x14ac:dyDescent="0.2">
      <c r="A46" s="24">
        <v>46077</v>
      </c>
      <c r="B46" s="21" t="s">
        <v>23</v>
      </c>
      <c r="C46" s="25">
        <v>1500</v>
      </c>
      <c r="D46" s="26" t="str">
        <f>VLOOKUP(B46,Owner_Master!$A$1:$B$53,2,FALSE())</f>
        <v>Raja &amp; Chitra</v>
      </c>
    </row>
    <row r="47" spans="1:4" ht="19.5" customHeight="1" x14ac:dyDescent="0.2">
      <c r="A47" s="24">
        <v>46081</v>
      </c>
      <c r="B47" s="21" t="s">
        <v>45</v>
      </c>
      <c r="C47" s="25">
        <v>3000</v>
      </c>
      <c r="D47" s="26" t="str">
        <f>VLOOKUP(B47,Owner_Master!$A$1:$B$53,2,FALSE())</f>
        <v>D. Abhimanyu &amp; Amrutha Abhimanyu</v>
      </c>
    </row>
    <row r="48" spans="1:4" ht="19.5" customHeight="1" x14ac:dyDescent="0.2">
      <c r="A48" s="24">
        <v>46081</v>
      </c>
      <c r="B48" s="21" t="s">
        <v>51</v>
      </c>
      <c r="C48" s="25">
        <v>7500</v>
      </c>
      <c r="D48" s="26" t="str">
        <f>VLOOKUP(B48,Owner_Master!$A$1:$B$53,2,FALSE())</f>
        <v>Karthik Krishnan &amp; Dr. Soniya Selvam</v>
      </c>
    </row>
    <row r="49" spans="1:6" ht="19.5" customHeight="1" x14ac:dyDescent="0.2">
      <c r="A49" s="24">
        <v>46082</v>
      </c>
      <c r="B49" s="21" t="s">
        <v>11</v>
      </c>
      <c r="C49" s="25">
        <v>1500</v>
      </c>
      <c r="D49" s="26" t="str">
        <f>VLOOKUP(B49,Owner_Master!$A$1:$B$53,2,FALSE())</f>
        <v xml:space="preserve">Malathy Sundaram </v>
      </c>
      <c r="F49" s="27"/>
    </row>
    <row r="50" spans="1:6" ht="19.5" customHeight="1" x14ac:dyDescent="0.2">
      <c r="A50" s="24">
        <v>46083</v>
      </c>
      <c r="B50" s="21" t="s">
        <v>83</v>
      </c>
      <c r="C50" s="25">
        <v>1500</v>
      </c>
      <c r="D50" s="26" t="str">
        <f>VLOOKUP(B50,Owner_Master!$A$1:$B$53,2,FALSE())</f>
        <v xml:space="preserve">K. Ramji </v>
      </c>
    </row>
    <row r="51" spans="1:6" ht="19.5" customHeight="1" x14ac:dyDescent="0.2">
      <c r="A51" s="24">
        <v>46083</v>
      </c>
      <c r="B51" s="21" t="s">
        <v>27</v>
      </c>
      <c r="C51" s="25">
        <v>1500</v>
      </c>
      <c r="D51" s="26" t="str">
        <f>VLOOKUP(B51,Owner_Master!$A$1:$B$53,2,FALSE())</f>
        <v>Rajesh Babu Krishnan</v>
      </c>
    </row>
    <row r="52" spans="1:6" ht="19.5" customHeight="1" x14ac:dyDescent="0.2">
      <c r="A52" s="24">
        <v>46083</v>
      </c>
      <c r="B52" s="21" t="s">
        <v>47</v>
      </c>
      <c r="C52" s="25">
        <v>1500</v>
      </c>
      <c r="D52" s="26" t="str">
        <f>VLOOKUP(B52,Owner_Master!$A$1:$B$53,2,FALSE())</f>
        <v>N.Naveenkumar &amp; G.Mahalakshmi</v>
      </c>
    </row>
    <row r="53" spans="1:6" ht="19.5" customHeight="1" x14ac:dyDescent="0.2">
      <c r="A53" s="24">
        <v>46084</v>
      </c>
      <c r="B53" s="21" t="s">
        <v>59</v>
      </c>
      <c r="C53" s="25">
        <v>1500</v>
      </c>
      <c r="D53" s="26" t="str">
        <f>VLOOKUP(B53,Owner_Master!$A$1:$B$53,2,FALSE())</f>
        <v xml:space="preserve">N.Muthu Sivasakthi &amp; G.Meera </v>
      </c>
    </row>
    <row r="54" spans="1:6" ht="19.5" customHeight="1" x14ac:dyDescent="0.2">
      <c r="A54" s="24">
        <v>46085</v>
      </c>
      <c r="B54" s="21" t="s">
        <v>73</v>
      </c>
      <c r="C54" s="25">
        <v>1500</v>
      </c>
      <c r="D54" s="26" t="str">
        <f>VLOOKUP(B54,Owner_Master!$A$1:$B$53,2,FALSE())</f>
        <v xml:space="preserve">Dr. P.S. Balamurugavel </v>
      </c>
    </row>
    <row r="55" spans="1:6" ht="19.5" customHeight="1" x14ac:dyDescent="0.2">
      <c r="A55" s="24">
        <v>46086</v>
      </c>
      <c r="B55" s="28" t="s">
        <v>19</v>
      </c>
      <c r="C55" s="25">
        <v>1500</v>
      </c>
      <c r="D55" s="29" t="str">
        <f>VLOOKUP(B55,Owner_Master!$A$1:$B$53,2,FALSE())</f>
        <v xml:space="preserve">Bhagath </v>
      </c>
    </row>
    <row r="56" spans="1:6" ht="19.5" customHeight="1" x14ac:dyDescent="0.2">
      <c r="A56" s="30">
        <v>46089</v>
      </c>
      <c r="B56" s="31" t="s">
        <v>81</v>
      </c>
      <c r="C56" s="32">
        <v>18000</v>
      </c>
      <c r="D56" s="33" t="str">
        <f>VLOOKUP(B56,Owner_Master!$A$1:$B$53,2,FALSE())</f>
        <v>N.Rajkumar &amp; A.Judith Mary Deepa</v>
      </c>
    </row>
    <row r="57" spans="1:6" ht="19.5" customHeight="1" x14ac:dyDescent="0.2">
      <c r="A57" s="24">
        <v>46089</v>
      </c>
      <c r="B57" s="21" t="s">
        <v>89</v>
      </c>
      <c r="C57" s="25">
        <v>18000</v>
      </c>
      <c r="D57" s="26" t="str">
        <f>VLOOKUP(B57,Owner_Master!$A$1:$B$53,2,FALSE())</f>
        <v>N.Rajkumar &amp; A.Judith Mary Deepa</v>
      </c>
    </row>
    <row r="58" spans="1:6" ht="19.5" customHeight="1" x14ac:dyDescent="0.2">
      <c r="A58" s="30">
        <v>46090</v>
      </c>
      <c r="B58" s="31" t="s">
        <v>96</v>
      </c>
      <c r="C58" s="32">
        <v>1500</v>
      </c>
      <c r="D58" s="33" t="str">
        <f>VLOOKUP(B58,Owner_Master!$A$1:$B$53,2,FALSE())</f>
        <v>K. Suseela</v>
      </c>
    </row>
    <row r="59" spans="1:6" ht="19.5" customHeight="1" x14ac:dyDescent="0.2">
      <c r="A59" s="30">
        <v>46091</v>
      </c>
      <c r="B59" s="21" t="s">
        <v>29</v>
      </c>
      <c r="C59" s="32">
        <v>3000</v>
      </c>
      <c r="D59" s="33" t="str">
        <f>VLOOKUP(B59,Owner_Master!$A$1:$B$53,2,FALSE())</f>
        <v>Shyamala Krishnan</v>
      </c>
    </row>
    <row r="60" spans="1:6" ht="19.5" customHeight="1" x14ac:dyDescent="0.2">
      <c r="A60" s="30">
        <v>46092</v>
      </c>
      <c r="B60" s="31" t="s">
        <v>7</v>
      </c>
      <c r="C60" s="32">
        <v>1500</v>
      </c>
      <c r="D60" s="33" t="str">
        <f>VLOOKUP(B60,Owner_Master!$A$1:$B$53,2,FALSE())</f>
        <v>R.Chetan Kumar</v>
      </c>
    </row>
    <row r="61" spans="1:6" ht="19.5" customHeight="1" x14ac:dyDescent="0.2">
      <c r="A61" s="30">
        <v>46092</v>
      </c>
      <c r="B61" s="31" t="s">
        <v>51</v>
      </c>
      <c r="C61" s="32">
        <v>1500</v>
      </c>
      <c r="D61" s="33" t="str">
        <f>VLOOKUP(B61,Owner_Master!$A$1:$B$53,2,FALSE())</f>
        <v>Karthik Krishnan &amp; Dr. Soniya Selvam</v>
      </c>
    </row>
    <row r="62" spans="1:6" ht="19.5" customHeight="1" x14ac:dyDescent="0.2">
      <c r="A62" s="30">
        <v>46095</v>
      </c>
      <c r="B62" s="31" t="s">
        <v>21</v>
      </c>
      <c r="C62" s="32">
        <v>3000</v>
      </c>
      <c r="D62" s="33" t="str">
        <f>VLOOKUP(B62,Owner_Master!$A$1:$B$53,2,FALSE())</f>
        <v>G.Dachinamoorthy &amp; Pinky Moorthy &amp; DP Mohit</v>
      </c>
    </row>
    <row r="63" spans="1:6" ht="15.75" customHeight="1" x14ac:dyDescent="0.2">
      <c r="A63" s="30">
        <v>46102</v>
      </c>
      <c r="B63" s="31" t="s">
        <v>63</v>
      </c>
      <c r="C63" s="32">
        <v>15000</v>
      </c>
      <c r="D63" s="33" t="str">
        <f>VLOOKUP(B63,Owner_Master!$A$1:$B$53,2,FALSE())</f>
        <v>Srinivasan Ramamoorthy/ Srividya Devarajan</v>
      </c>
    </row>
    <row r="64" spans="1:6" ht="20.25" customHeight="1" x14ac:dyDescent="0.2">
      <c r="A64" s="30">
        <v>46103</v>
      </c>
      <c r="B64" s="31" t="s">
        <v>69</v>
      </c>
      <c r="C64" s="32">
        <v>19500</v>
      </c>
      <c r="D64" s="33" t="str">
        <f>VLOOKUP(B64,Owner_Master!$A$1:$B$53,2,FALSE())</f>
        <v>Arunkarthick and Dr.Haripraba</v>
      </c>
    </row>
    <row r="65" spans="1:4" ht="20.25" customHeight="1" x14ac:dyDescent="0.2">
      <c r="A65" s="24">
        <v>46103</v>
      </c>
      <c r="B65" s="21" t="s">
        <v>57</v>
      </c>
      <c r="C65" s="25">
        <v>1500</v>
      </c>
      <c r="D65" s="26" t="str">
        <f>VLOOKUP(B65,Owner_Master!$A$1:$B$53,2,FALSE())</f>
        <v>Manikandan Kumar  &amp; Rakeshwari</v>
      </c>
    </row>
    <row r="66" spans="1:4" ht="20.25" customHeight="1" x14ac:dyDescent="0.2">
      <c r="A66" s="30">
        <v>46104</v>
      </c>
      <c r="B66" s="31" t="s">
        <v>25</v>
      </c>
      <c r="C66" s="32">
        <v>4500</v>
      </c>
      <c r="D66" s="33" t="str">
        <f>VLOOKUP(B66,Owner_Master!$A$1:$B$53,2,FALSE())</f>
        <v xml:space="preserve">Sivaramakrishnan </v>
      </c>
    </row>
    <row r="67" spans="1:4" ht="20.25" customHeight="1" x14ac:dyDescent="0.2">
      <c r="A67" s="30">
        <v>46104</v>
      </c>
      <c r="B67" s="31" t="s">
        <v>73</v>
      </c>
      <c r="C67" s="32">
        <v>12000</v>
      </c>
      <c r="D67" s="33" t="str">
        <f>VLOOKUP(B67,Owner_Master!$A$1:$B$53,2,FALSE())</f>
        <v xml:space="preserve">Dr. P.S. Balamurugavel </v>
      </c>
    </row>
    <row r="68" spans="1:4" ht="20.25" customHeight="1" x14ac:dyDescent="0.2">
      <c r="A68" s="30">
        <v>46104</v>
      </c>
      <c r="B68" s="31" t="s">
        <v>39</v>
      </c>
      <c r="C68" s="32">
        <v>1500</v>
      </c>
      <c r="D68" s="33" t="str">
        <f>VLOOKUP(B68,Owner_Master!$A$1:$B$53,2,FALSE())</f>
        <v>Thejaswini &amp; Mahadeva Swamy</v>
      </c>
    </row>
    <row r="69" spans="1:4" ht="20.25" customHeight="1" x14ac:dyDescent="0.2">
      <c r="A69" s="30">
        <v>46104</v>
      </c>
      <c r="B69" s="31" t="s">
        <v>94</v>
      </c>
      <c r="C69" s="32">
        <v>1500</v>
      </c>
      <c r="D69" s="33" t="str">
        <f>VLOOKUP(B69,Owner_Master!$A$1:$B$53,2,FALSE())</f>
        <v>K.Thanikai Arasu</v>
      </c>
    </row>
    <row r="70" spans="1:4" ht="20.25" customHeight="1" x14ac:dyDescent="0.2">
      <c r="A70" s="30">
        <v>46107</v>
      </c>
      <c r="B70" s="31" t="s">
        <v>43</v>
      </c>
      <c r="C70" s="32">
        <v>4500</v>
      </c>
      <c r="D70" s="33" t="str">
        <f>VLOOKUP(B70,Owner_Master!$A$1:$B$53,2,FALSE())</f>
        <v xml:space="preserve">Maruthachlamurthi </v>
      </c>
    </row>
    <row r="71" spans="1:4" ht="20.25" customHeight="1" x14ac:dyDescent="0.2">
      <c r="A71" s="30">
        <v>46107</v>
      </c>
      <c r="B71" s="31" t="s">
        <v>29</v>
      </c>
      <c r="C71" s="32">
        <v>1500</v>
      </c>
      <c r="D71" s="33" t="str">
        <f>VLOOKUP(B71,Owner_Master!$A$1:$B$53,2,FALSE())</f>
        <v>Shyamala Krishnan</v>
      </c>
    </row>
    <row r="72" spans="1:4" ht="20.25" customHeight="1" x14ac:dyDescent="0.2">
      <c r="A72" s="30">
        <v>46107</v>
      </c>
      <c r="B72" s="31" t="s">
        <v>31</v>
      </c>
      <c r="C72" s="32">
        <v>6000</v>
      </c>
      <c r="D72" s="33" t="str">
        <f>VLOOKUP(B72,Owner_Master!$A$1:$B$53,2,FALSE())</f>
        <v xml:space="preserve">Aishwarya Anandanathan </v>
      </c>
    </row>
    <row r="73" spans="1:4" ht="20.25" customHeight="1" x14ac:dyDescent="0.2">
      <c r="A73" s="30">
        <v>46107</v>
      </c>
      <c r="B73" s="31" t="s">
        <v>43</v>
      </c>
      <c r="C73" s="32">
        <v>1500</v>
      </c>
      <c r="D73" s="33" t="str">
        <f>VLOOKUP(B73,Owner_Master!$A$1:$B$53,2,FALSE())</f>
        <v xml:space="preserve">Maruthachlamurthi </v>
      </c>
    </row>
    <row r="74" spans="1:4" ht="20.25" customHeight="1" x14ac:dyDescent="0.2">
      <c r="A74" s="30">
        <v>46110</v>
      </c>
      <c r="B74" s="31" t="s">
        <v>75</v>
      </c>
      <c r="C74" s="32">
        <v>21000</v>
      </c>
      <c r="D74" s="33" t="str">
        <f>VLOOKUP(B74,Owner_Master!$A$1:$B$53,2,FALSE())</f>
        <v>A.M. Rajkumar &amp; Krishnaveni</v>
      </c>
    </row>
    <row r="75" spans="1:4" ht="20.25" customHeight="1" x14ac:dyDescent="0.2">
      <c r="A75" s="30">
        <v>46113</v>
      </c>
      <c r="B75" s="31" t="s">
        <v>11</v>
      </c>
      <c r="C75" s="32">
        <v>1500</v>
      </c>
      <c r="D75" s="33" t="str">
        <f>VLOOKUP(B75,Owner_Master!$A$1:$B$53,2,FALSE())</f>
        <v xml:space="preserve">Malathy Sundaram </v>
      </c>
    </row>
    <row r="76" spans="1:4" ht="20.25" customHeight="1" x14ac:dyDescent="0.2">
      <c r="A76" s="30">
        <v>46113</v>
      </c>
      <c r="B76" s="31" t="s">
        <v>13</v>
      </c>
      <c r="C76" s="32">
        <v>1500</v>
      </c>
      <c r="D76" s="33" t="str">
        <f>VLOOKUP(B76,Owner_Master!$A$1:$B$53,2,FALSE())</f>
        <v>M .Kalaivani Chandramohan</v>
      </c>
    </row>
    <row r="77" spans="1:4" ht="20.25" customHeight="1" x14ac:dyDescent="0.2">
      <c r="A77" s="30">
        <v>46113</v>
      </c>
      <c r="B77" s="31" t="s">
        <v>75</v>
      </c>
      <c r="C77" s="32">
        <v>1500</v>
      </c>
      <c r="D77" s="33" t="str">
        <f>VLOOKUP(B77,Owner_Master!$A$1:$B$53,2,FALSE())</f>
        <v>A.M. Rajkumar &amp; Krishnaveni</v>
      </c>
    </row>
    <row r="78" spans="1:4" ht="20.25" customHeight="1" x14ac:dyDescent="0.2">
      <c r="A78" s="30">
        <v>46113</v>
      </c>
      <c r="B78" s="31" t="s">
        <v>104</v>
      </c>
      <c r="C78" s="32">
        <v>1500</v>
      </c>
      <c r="D78" s="33" t="str">
        <f>VLOOKUP(B78,Owner_Master!$A$1:$B$53,2,FALSE())</f>
        <v>N. Jaya</v>
      </c>
    </row>
    <row r="79" spans="1:4" ht="20.25" customHeight="1" x14ac:dyDescent="0.2">
      <c r="A79" s="30">
        <v>46113</v>
      </c>
      <c r="B79" s="31" t="s">
        <v>37</v>
      </c>
      <c r="C79" s="32">
        <v>9000</v>
      </c>
      <c r="D79" s="33" t="str">
        <f>VLOOKUP(B79,Owner_Master!$A$1:$B$53,2,FALSE())</f>
        <v>Dr Shreesha Kumar K</v>
      </c>
    </row>
    <row r="80" spans="1:4" ht="20.25" customHeight="1" x14ac:dyDescent="0.2">
      <c r="A80" s="30">
        <v>46113</v>
      </c>
      <c r="B80" s="31" t="s">
        <v>27</v>
      </c>
      <c r="C80" s="32">
        <v>1500</v>
      </c>
      <c r="D80" s="33" t="str">
        <f>VLOOKUP(B80,Owner_Master!$A$1:$B$53,2,FALSE())</f>
        <v>Rajesh Babu Krishnan</v>
      </c>
    </row>
    <row r="81" spans="1:4" ht="20.25" customHeight="1" x14ac:dyDescent="0.2">
      <c r="A81" s="30">
        <v>46113</v>
      </c>
      <c r="B81" s="31" t="s">
        <v>23</v>
      </c>
      <c r="C81" s="32">
        <v>1500</v>
      </c>
      <c r="D81" s="33" t="str">
        <f>VLOOKUP(B81,Owner_Master!$A$1:$B$53,2,FALSE())</f>
        <v>Raja &amp; Chitra</v>
      </c>
    </row>
    <row r="82" spans="1:4" ht="20.25" customHeight="1" x14ac:dyDescent="0.2">
      <c r="A82" s="30">
        <v>46114</v>
      </c>
      <c r="B82" s="31" t="s">
        <v>83</v>
      </c>
      <c r="C82" s="32">
        <v>1500</v>
      </c>
      <c r="D82" s="33" t="str">
        <f>VLOOKUP(B82,Owner_Master!$A$1:$B$53,2,FALSE())</f>
        <v xml:space="preserve">K. Ramji </v>
      </c>
    </row>
    <row r="83" spans="1:4" ht="20.25" customHeight="1" x14ac:dyDescent="0.2">
      <c r="A83" s="30">
        <v>46114</v>
      </c>
      <c r="B83" s="31" t="s">
        <v>47</v>
      </c>
      <c r="C83" s="32">
        <v>1500</v>
      </c>
      <c r="D83" s="33" t="str">
        <f>VLOOKUP(B83,Owner_Master!$A$1:$B$53,2,FALSE())</f>
        <v>N.Naveenkumar &amp; G.Mahalakshmi</v>
      </c>
    </row>
    <row r="84" spans="1:4" ht="20.25" customHeight="1" x14ac:dyDescent="0.2">
      <c r="A84" s="30">
        <v>46115</v>
      </c>
      <c r="B84" s="31" t="s">
        <v>9</v>
      </c>
      <c r="C84" s="32">
        <v>1500</v>
      </c>
      <c r="D84" s="33" t="str">
        <f>VLOOKUP(B84,Owner_Master!$A$1:$B$53,2,FALSE())</f>
        <v>Latish Babu</v>
      </c>
    </row>
    <row r="85" spans="1:4" ht="20.25" customHeight="1" x14ac:dyDescent="0.2">
      <c r="A85" s="30">
        <v>46116</v>
      </c>
      <c r="B85" s="31" t="s">
        <v>59</v>
      </c>
      <c r="C85" s="32">
        <v>1500</v>
      </c>
      <c r="D85" s="33" t="str">
        <f>VLOOKUP(B85,Owner_Master!$A$1:$B$53,2,FALSE())</f>
        <v xml:space="preserve">N.Muthu Sivasakthi &amp; G.Meera </v>
      </c>
    </row>
    <row r="86" spans="1:4" ht="20.25" customHeight="1" x14ac:dyDescent="0.2">
      <c r="A86" s="30">
        <v>46117</v>
      </c>
      <c r="B86" s="31" t="s">
        <v>102</v>
      </c>
      <c r="C86" s="32">
        <v>3000</v>
      </c>
      <c r="D86" s="33" t="str">
        <f>VLOOKUP(B86,Owner_Master!$A$1:$B$53,2,FALSE())</f>
        <v xml:space="preserve">Dr G.K.Kiran Adithya </v>
      </c>
    </row>
    <row r="87" spans="1:4" ht="20.25" customHeight="1" x14ac:dyDescent="0.2">
      <c r="A87" s="30">
        <v>46117</v>
      </c>
      <c r="B87" s="31" t="s">
        <v>33</v>
      </c>
      <c r="C87" s="32">
        <v>3000</v>
      </c>
      <c r="D87" s="33" t="str">
        <f>VLOOKUP(B87,Owner_Master!$A$1:$B$53,2,FALSE())</f>
        <v>Selvendran Ayyaswamy</v>
      </c>
    </row>
    <row r="88" spans="1:4" ht="20.25" customHeight="1" x14ac:dyDescent="0.2">
      <c r="A88" s="30">
        <v>46118</v>
      </c>
      <c r="B88" s="31" t="s">
        <v>69</v>
      </c>
      <c r="C88" s="32">
        <v>1500</v>
      </c>
      <c r="D88" s="33" t="str">
        <f>VLOOKUP(B88,Owner_Master!$A$1:$B$53,2,FALSE())</f>
        <v>Arunkarthick and Dr.Haripraba</v>
      </c>
    </row>
    <row r="89" spans="1:4" ht="20.25" customHeight="1" x14ac:dyDescent="0.2">
      <c r="A89" s="30">
        <v>46118</v>
      </c>
      <c r="B89" s="31" t="s">
        <v>17</v>
      </c>
      <c r="C89" s="32">
        <v>1500</v>
      </c>
      <c r="D89" s="33" t="str">
        <f>VLOOKUP(B89,Owner_Master!$A$1:$B$53,2,FALSE())</f>
        <v xml:space="preserve">S.Rajeswari </v>
      </c>
    </row>
    <row r="90" spans="1:4" ht="20.25" customHeight="1" x14ac:dyDescent="0.2">
      <c r="A90" s="30">
        <v>46119</v>
      </c>
      <c r="B90" s="31" t="s">
        <v>19</v>
      </c>
      <c r="C90" s="32">
        <v>1500</v>
      </c>
      <c r="D90" s="33" t="str">
        <f>VLOOKUP(B90,Owner_Master!$A$1:$B$53,2,FALSE())</f>
        <v xml:space="preserve">Bhagath </v>
      </c>
    </row>
    <row r="91" spans="1:4" ht="20.25" customHeight="1" x14ac:dyDescent="0.2">
      <c r="A91" s="30">
        <v>46121</v>
      </c>
      <c r="B91" s="31" t="s">
        <v>73</v>
      </c>
      <c r="C91" s="32">
        <v>1500</v>
      </c>
      <c r="D91" s="33" t="str">
        <f>VLOOKUP(B91,Owner_Master!$A$1:$B$53,2,FALSE())</f>
        <v xml:space="preserve">Dr. P.S. Balamurugavel </v>
      </c>
    </row>
    <row r="92" spans="1:4" ht="20.25" customHeight="1" x14ac:dyDescent="0.2">
      <c r="A92" s="30">
        <v>46123</v>
      </c>
      <c r="B92" s="31" t="s">
        <v>7</v>
      </c>
      <c r="C92" s="32">
        <v>1500</v>
      </c>
      <c r="D92" s="33" t="str">
        <f>VLOOKUP(B92,Owner_Master!$A$1:$B$53,2,FALSE())</f>
        <v>R.Chetan Kumar</v>
      </c>
    </row>
    <row r="93" spans="1:4" ht="20.25" customHeight="1" x14ac:dyDescent="0.2">
      <c r="A93" s="30">
        <v>46124</v>
      </c>
      <c r="B93" s="31" t="s">
        <v>45</v>
      </c>
      <c r="C93" s="32">
        <v>3000</v>
      </c>
      <c r="D93" s="33" t="str">
        <f>VLOOKUP(B93,Owner_Master!$A$1:$B$53,2,FALSE())</f>
        <v>D. Abhimanyu &amp; Amrutha Abhimanyu</v>
      </c>
    </row>
    <row r="94" spans="1:4" ht="20.25" customHeight="1" x14ac:dyDescent="0.2">
      <c r="A94" s="30">
        <v>46125</v>
      </c>
      <c r="B94" s="31" t="s">
        <v>51</v>
      </c>
      <c r="C94" s="32">
        <v>1500</v>
      </c>
      <c r="D94" s="33" t="str">
        <f>VLOOKUP(B94,Owner_Master!$A$1:$B$53,2,FALSE())</f>
        <v>Karthik Krishnan &amp; Dr. Soniya Selvam</v>
      </c>
    </row>
    <row r="95" spans="1:4" ht="20.25" customHeight="1" x14ac:dyDescent="0.2">
      <c r="A95" s="30">
        <v>46138</v>
      </c>
      <c r="B95" s="31" t="s">
        <v>57</v>
      </c>
      <c r="C95" s="32">
        <v>1500</v>
      </c>
      <c r="D95" s="33" t="str">
        <f>VLOOKUP(B95,Owner_Master!$A$1:$B$53,2,FALSE())</f>
        <v>Manikandan Kumar  &amp; Rakeshwari</v>
      </c>
    </row>
    <row r="96" spans="1:4" ht="20.25" customHeight="1" x14ac:dyDescent="0.2">
      <c r="A96" s="30">
        <v>46142</v>
      </c>
      <c r="B96" s="31" t="s">
        <v>23</v>
      </c>
      <c r="C96" s="32">
        <v>1500</v>
      </c>
      <c r="D96" s="33" t="str">
        <f>VLOOKUP(B96,Owner_Master!$A$1:$B$53,2,FALSE())</f>
        <v>Raja &amp; Chitra</v>
      </c>
    </row>
    <row r="97" spans="1:5" ht="20.25" customHeight="1" x14ac:dyDescent="0.2">
      <c r="A97" s="30">
        <v>46142</v>
      </c>
      <c r="B97" s="31" t="s">
        <v>39</v>
      </c>
      <c r="C97" s="32">
        <v>1500</v>
      </c>
      <c r="D97" s="33" t="str">
        <f>VLOOKUP(B97,Owner_Master!$A$1:$B$53,2,FALSE())</f>
        <v>Thejaswini &amp; Mahadeva Swamy</v>
      </c>
    </row>
    <row r="98" spans="1:5" ht="20.25" customHeight="1" x14ac:dyDescent="0.2">
      <c r="A98" s="30">
        <v>46142</v>
      </c>
      <c r="B98" s="31" t="s">
        <v>73</v>
      </c>
      <c r="C98" s="32">
        <v>1500</v>
      </c>
      <c r="D98" s="33" t="str">
        <f>VLOOKUP(B98,Owner_Master!$A$1:$B$53,2,FALSE())</f>
        <v xml:space="preserve">Dr. P.S. Balamurugavel </v>
      </c>
    </row>
    <row r="99" spans="1:5" ht="20.25" customHeight="1" x14ac:dyDescent="0.2">
      <c r="A99" s="30">
        <v>46143</v>
      </c>
      <c r="B99" s="31" t="s">
        <v>83</v>
      </c>
      <c r="C99" s="32">
        <v>1500</v>
      </c>
      <c r="D99" s="33" t="str">
        <f>VLOOKUP(B99,Owner_Master!$A$1:$B$53,2,FALSE())</f>
        <v xml:space="preserve">K. Ramji </v>
      </c>
      <c r="E99" s="72"/>
    </row>
    <row r="100" spans="1:5" ht="20.25" customHeight="1" x14ac:dyDescent="0.2">
      <c r="A100" s="30">
        <v>46143</v>
      </c>
      <c r="B100" s="31" t="s">
        <v>69</v>
      </c>
      <c r="C100" s="32">
        <v>1500</v>
      </c>
      <c r="D100" s="33" t="str">
        <f>VLOOKUP(B100,Owner_Master!$A$1:$B$53,2,FALSE())</f>
        <v>Arunkarthick and Dr.Haripraba</v>
      </c>
    </row>
    <row r="101" spans="1:5" ht="20.25" customHeight="1" x14ac:dyDescent="0.2">
      <c r="A101" s="30">
        <v>46143</v>
      </c>
      <c r="B101" s="31" t="s">
        <v>13</v>
      </c>
      <c r="C101" s="32">
        <v>1500</v>
      </c>
      <c r="D101" s="33" t="str">
        <f>VLOOKUP(B101,Owner_Master!$A$1:$B$53,2,FALSE())</f>
        <v>M .Kalaivani Chandramohan</v>
      </c>
    </row>
    <row r="102" spans="1:5" ht="20.25" customHeight="1" x14ac:dyDescent="0.2">
      <c r="A102" s="30">
        <v>46143</v>
      </c>
      <c r="B102" s="31" t="s">
        <v>11</v>
      </c>
      <c r="C102" s="32">
        <v>1500</v>
      </c>
      <c r="D102" s="33" t="str">
        <f>VLOOKUP(B102,Owner_Master!$A$1:$B$53,2,FALSE())</f>
        <v xml:space="preserve">Malathy Sundaram </v>
      </c>
    </row>
    <row r="103" spans="1:5" ht="20.25" customHeight="1" x14ac:dyDescent="0.2">
      <c r="A103" s="30">
        <v>46144</v>
      </c>
      <c r="B103" s="31" t="s">
        <v>17</v>
      </c>
      <c r="C103" s="32">
        <v>1500</v>
      </c>
      <c r="D103" s="33" t="str">
        <f>VLOOKUP(B103,Owner_Master!$A$1:$B$53,2,FALSE())</f>
        <v xml:space="preserve">S.Rajeswari </v>
      </c>
    </row>
    <row r="104" spans="1:5" ht="20.25" customHeight="1" x14ac:dyDescent="0.2">
      <c r="A104" s="30">
        <v>46144</v>
      </c>
      <c r="B104" s="31" t="s">
        <v>9</v>
      </c>
      <c r="C104" s="32">
        <v>1500</v>
      </c>
      <c r="D104" s="33" t="str">
        <f>VLOOKUP(B104,Owner_Master!$A$1:$B$53,2,FALSE())</f>
        <v>Latish Babu</v>
      </c>
    </row>
    <row r="105" spans="1:5" ht="20.25" customHeight="1" x14ac:dyDescent="0.2">
      <c r="A105" s="30">
        <v>46144</v>
      </c>
      <c r="B105" s="31" t="s">
        <v>59</v>
      </c>
      <c r="C105" s="32">
        <v>1500</v>
      </c>
      <c r="D105" s="33" t="str">
        <f>VLOOKUP(B105,Owner_Master!$A$1:$B$53,2,FALSE())</f>
        <v xml:space="preserve">N.Muthu Sivasakthi &amp; G.Meera </v>
      </c>
    </row>
    <row r="106" spans="1:5" ht="20.25" customHeight="1" x14ac:dyDescent="0.2">
      <c r="A106" s="30">
        <v>46145</v>
      </c>
      <c r="B106" s="31" t="s">
        <v>47</v>
      </c>
      <c r="C106" s="32">
        <v>1500</v>
      </c>
      <c r="D106" s="33" t="str">
        <f>VLOOKUP(B106,Owner_Master!$A$1:$B$53,2,FALSE())</f>
        <v>N.Naveenkumar &amp; G.Mahalakshmi</v>
      </c>
    </row>
    <row r="107" spans="1:5" ht="20.25" customHeight="1" x14ac:dyDescent="0.2">
      <c r="A107" s="30">
        <v>46145</v>
      </c>
      <c r="B107" s="31" t="s">
        <v>7</v>
      </c>
      <c r="C107" s="32">
        <v>1500</v>
      </c>
      <c r="D107" s="33" t="str">
        <f>VLOOKUP(B107,Owner_Master!$A$1:$B$53,2,FALSE())</f>
        <v>R.Chetan Kumar</v>
      </c>
    </row>
    <row r="108" spans="1:5" ht="20.25" customHeight="1" x14ac:dyDescent="0.2">
      <c r="A108" s="30">
        <v>46146</v>
      </c>
      <c r="B108" s="31" t="s">
        <v>75</v>
      </c>
      <c r="C108" s="32">
        <v>1500</v>
      </c>
      <c r="D108" s="33" t="str">
        <f>VLOOKUP(B108,Owner_Master!$A$1:$B$53,2,FALSE())</f>
        <v>A.M. Rajkumar &amp; Krishnaveni</v>
      </c>
    </row>
    <row r="109" spans="1:5" ht="20.25" customHeight="1" x14ac:dyDescent="0.2">
      <c r="A109" s="30">
        <v>46146</v>
      </c>
      <c r="B109" s="31" t="s">
        <v>27</v>
      </c>
      <c r="C109" s="32">
        <v>1500</v>
      </c>
      <c r="D109" s="33" t="str">
        <f>VLOOKUP(B109,Owner_Master!$A$1:$B$53,2,FALSE())</f>
        <v>Rajesh Babu Krishnan</v>
      </c>
    </row>
    <row r="110" spans="1:5" ht="20.25" customHeight="1" x14ac:dyDescent="0.2">
      <c r="A110" s="30">
        <v>46147</v>
      </c>
      <c r="B110" s="31" t="s">
        <v>41</v>
      </c>
      <c r="C110" s="32">
        <v>4500</v>
      </c>
      <c r="D110" s="33" t="str">
        <f>VLOOKUP(B110,Owner_Master!$A$1:$B$53,2,FALSE())</f>
        <v>Lt.Col Vimla VR (Retd)</v>
      </c>
    </row>
    <row r="111" spans="1:5" ht="20.25" customHeight="1" x14ac:dyDescent="0.2">
      <c r="A111" s="30">
        <v>46148</v>
      </c>
      <c r="B111" s="31" t="s">
        <v>92</v>
      </c>
      <c r="C111" s="32">
        <v>1500</v>
      </c>
      <c r="D111" s="33" t="str">
        <f>VLOOKUP(B111,Owner_Master!$A$1:$B$53,2,FALSE())</f>
        <v>Ganesan &amp; Anitha</v>
      </c>
    </row>
    <row r="112" spans="1:5" ht="20.25" customHeight="1" x14ac:dyDescent="0.2">
      <c r="A112" s="30">
        <v>46148</v>
      </c>
      <c r="B112" s="31" t="s">
        <v>61</v>
      </c>
      <c r="C112" s="32">
        <v>13500</v>
      </c>
      <c r="D112" s="33" t="str">
        <f>VLOOKUP(B112,Owner_Master!$A$1:$B$53,2,FALSE())</f>
        <v>Vijayaraghavan &amp; Hema Vijayaraghavan</v>
      </c>
    </row>
    <row r="113" spans="1:4" ht="20.25" customHeight="1" x14ac:dyDescent="0.2">
      <c r="A113" s="30">
        <v>46148</v>
      </c>
      <c r="B113" s="31" t="s">
        <v>92</v>
      </c>
      <c r="C113" s="32">
        <v>5000</v>
      </c>
      <c r="D113" s="33" t="str">
        <f>VLOOKUP(B113,Owner_Master!$A$1:$B$53,2,FALSE())</f>
        <v>Ganesan &amp; Anitha</v>
      </c>
    </row>
    <row r="114" spans="1:4" ht="20.25" customHeight="1" x14ac:dyDescent="0.2">
      <c r="A114" s="30">
        <v>46150</v>
      </c>
      <c r="B114" s="31" t="s">
        <v>23</v>
      </c>
      <c r="C114" s="32">
        <v>3000</v>
      </c>
      <c r="D114" s="33" t="str">
        <f>VLOOKUP(B114,Owner_Master!$A$1:$B$53,2,FALSE())</f>
        <v>Raja &amp; Chitra</v>
      </c>
    </row>
    <row r="115" spans="1:4" ht="20.25" customHeight="1" x14ac:dyDescent="0.2">
      <c r="A115" s="30">
        <v>46151</v>
      </c>
      <c r="B115" s="31" t="s">
        <v>21</v>
      </c>
      <c r="C115" s="32">
        <v>1500</v>
      </c>
      <c r="D115" s="33" t="str">
        <f>VLOOKUP(B115,Owner_Master!$A$1:$B$53,2,FALSE())</f>
        <v>G.Dachinamoorthy &amp; Pinky Moorthy &amp; DP Mohit</v>
      </c>
    </row>
    <row r="116" spans="1:4" ht="20.25" customHeight="1" x14ac:dyDescent="0.2">
      <c r="A116" s="30">
        <v>46152</v>
      </c>
      <c r="B116" s="31" t="s">
        <v>87</v>
      </c>
      <c r="C116" s="32">
        <v>31000</v>
      </c>
      <c r="D116" s="33" t="str">
        <f>VLOOKUP(B116,Owner_Master!$A$1:$B$53,2,FALSE())</f>
        <v>K.Eswari</v>
      </c>
    </row>
    <row r="117" spans="1:4" ht="20.25" customHeight="1" x14ac:dyDescent="0.2">
      <c r="A117" s="30">
        <v>46153</v>
      </c>
      <c r="B117" s="31" t="s">
        <v>73</v>
      </c>
      <c r="C117" s="32">
        <v>1500</v>
      </c>
      <c r="D117" s="33" t="str">
        <f>VLOOKUP(B117,Owner_Master!$A$1:$B$53,2,FALSE())</f>
        <v xml:space="preserve">Dr. P.S. Balamurugavel </v>
      </c>
    </row>
    <row r="118" spans="1:4" ht="20.25" customHeight="1" x14ac:dyDescent="0.2">
      <c r="A118" s="30">
        <v>46155</v>
      </c>
      <c r="B118" s="31" t="s">
        <v>79</v>
      </c>
      <c r="C118" s="32">
        <v>22500</v>
      </c>
      <c r="D118" s="33" t="str">
        <f>VLOOKUP(B118,Owner_Master!$A$1:$B$53,2,FALSE())</f>
        <v>Sudhakar &amp; Dhanya</v>
      </c>
    </row>
    <row r="119" spans="1:4" ht="20.25" customHeight="1" x14ac:dyDescent="0.2">
      <c r="A119" s="30">
        <v>46156</v>
      </c>
      <c r="B119" s="31" t="s">
        <v>65</v>
      </c>
      <c r="C119" s="32">
        <v>4500</v>
      </c>
      <c r="D119" s="33" t="str">
        <f>VLOOKUP(B119,Owner_Master!$A$1:$B$53,2,FALSE())</f>
        <v>S.Periasamy</v>
      </c>
    </row>
    <row r="120" spans="1:4" ht="20.25" customHeight="1" x14ac:dyDescent="0.2">
      <c r="A120" s="30">
        <v>46156</v>
      </c>
      <c r="B120" s="31" t="s">
        <v>65</v>
      </c>
      <c r="C120" s="32">
        <v>4500</v>
      </c>
      <c r="D120" s="33" t="str">
        <f>VLOOKUP(B120,Owner_Master!$A$1:$B$53,2,FALSE())</f>
        <v>S.Periasamy</v>
      </c>
    </row>
    <row r="121" spans="1:4" ht="20.25" customHeight="1" x14ac:dyDescent="0.2">
      <c r="A121" s="30">
        <v>46156</v>
      </c>
      <c r="B121" s="31" t="s">
        <v>49</v>
      </c>
      <c r="C121" s="32">
        <v>12000</v>
      </c>
      <c r="D121" s="33" t="str">
        <f>VLOOKUP(B121,Owner_Master!$A$1:$B$53,2,FALSE())</f>
        <v>Dr P Manivannan MD &amp; K.Kalaichelvi IRS Retd</v>
      </c>
    </row>
    <row r="122" spans="1:4" ht="20.25" customHeight="1" x14ac:dyDescent="0.2">
      <c r="A122" s="30">
        <v>46156</v>
      </c>
      <c r="B122" s="31" t="s">
        <v>59</v>
      </c>
      <c r="C122" s="32">
        <v>4500</v>
      </c>
      <c r="D122" s="33" t="str">
        <f>VLOOKUP(B122,Owner_Master!$A$1:$B$53,2,FALSE())</f>
        <v xml:space="preserve">N.Muthu Sivasakthi &amp; G.Meera </v>
      </c>
    </row>
    <row r="123" spans="1:4" ht="20.25" customHeight="1" x14ac:dyDescent="0.2">
      <c r="A123" s="30">
        <v>46158</v>
      </c>
      <c r="B123" s="31" t="s">
        <v>98</v>
      </c>
      <c r="C123" s="32">
        <v>18000</v>
      </c>
      <c r="D123" s="33" t="str">
        <f>VLOOKUP(B123,Owner_Master!$A$1:$B$53,2,FALSE())</f>
        <v xml:space="preserve">Vishwanath Mohan </v>
      </c>
    </row>
    <row r="124" spans="1:4" ht="20.25" customHeight="1" x14ac:dyDescent="0.2">
      <c r="A124" s="30">
        <v>46162</v>
      </c>
      <c r="B124" s="31" t="s">
        <v>53</v>
      </c>
      <c r="C124" s="32">
        <v>10500</v>
      </c>
      <c r="D124" s="33" t="str">
        <f>VLOOKUP(B124,Owner_Master!$A$1:$B$53,2,FALSE())</f>
        <v>P. Rajeev Nair</v>
      </c>
    </row>
    <row r="125" spans="1:4" ht="20.25" customHeight="1" x14ac:dyDescent="0.2">
      <c r="A125" s="30"/>
      <c r="B125" s="31"/>
      <c r="C125" s="32"/>
      <c r="D125" s="33"/>
    </row>
    <row r="126" spans="1:4" ht="20.25" customHeight="1" x14ac:dyDescent="0.2">
      <c r="A126" s="30"/>
      <c r="B126" s="31"/>
      <c r="C126" s="32"/>
      <c r="D126" s="33"/>
    </row>
    <row r="127" spans="1:4" ht="20.25" customHeight="1" x14ac:dyDescent="0.2">
      <c r="A127" s="30"/>
      <c r="B127" s="31"/>
      <c r="C127" s="32"/>
      <c r="D127" s="33"/>
    </row>
    <row r="128" spans="1:4" ht="15.75" customHeight="1" x14ac:dyDescent="0.2">
      <c r="A128" s="30"/>
      <c r="B128" s="31"/>
      <c r="C128" s="32"/>
      <c r="D128" s="33"/>
    </row>
    <row r="129" spans="1:4" ht="15.75" customHeight="1" x14ac:dyDescent="0.2">
      <c r="A129" s="30"/>
      <c r="B129" s="31"/>
      <c r="C129" s="32"/>
      <c r="D129" s="33"/>
    </row>
    <row r="130" spans="1:4" ht="15.75" customHeight="1" x14ac:dyDescent="0.2">
      <c r="A130" s="30"/>
      <c r="B130" s="31"/>
      <c r="C130" s="32"/>
      <c r="D130" s="33"/>
    </row>
    <row r="131" spans="1:4" ht="15.75" customHeight="1" x14ac:dyDescent="0.2">
      <c r="A131" s="30"/>
      <c r="B131" s="31"/>
      <c r="C131" s="32"/>
      <c r="D131" s="33"/>
    </row>
    <row r="132" spans="1:4" ht="15.75" customHeight="1" x14ac:dyDescent="0.2">
      <c r="A132" s="30"/>
      <c r="B132" s="31"/>
      <c r="C132" s="32"/>
      <c r="D132" s="33"/>
    </row>
    <row r="133" spans="1:4" ht="15.75" customHeight="1" x14ac:dyDescent="0.2">
      <c r="A133" s="30"/>
      <c r="B133" s="31"/>
      <c r="C133" s="32"/>
      <c r="D133" s="33"/>
    </row>
    <row r="135" spans="1:4" ht="15.75" customHeight="1" x14ac:dyDescent="0.2">
      <c r="C135" s="72">
        <f>SUM(C2:C134)</f>
        <v>577000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56"/>
  <sheetViews>
    <sheetView showGridLines="0" zoomScaleNormal="100" workbookViewId="0">
      <selection activeCell="A19" sqref="A19"/>
    </sheetView>
  </sheetViews>
  <sheetFormatPr defaultColWidth="12.5703125" defaultRowHeight="15.75" customHeight="1" x14ac:dyDescent="0.2"/>
  <cols>
    <col min="1" max="1" width="14.140625" customWidth="1"/>
    <col min="2" max="2" width="25.140625" customWidth="1"/>
    <col min="3" max="3" width="18" style="34" customWidth="1"/>
    <col min="4" max="4" width="21.85546875" style="27" customWidth="1"/>
    <col min="5" max="5" width="12.85546875" style="27" customWidth="1"/>
    <col min="9" max="9" width="33.7109375" customWidth="1"/>
    <col min="10" max="10" width="14.42578125" customWidth="1"/>
  </cols>
  <sheetData>
    <row r="1" spans="1:10" ht="19.5" customHeight="1" x14ac:dyDescent="0.2">
      <c r="A1" s="35" t="s">
        <v>0</v>
      </c>
      <c r="B1" s="36" t="s">
        <v>112</v>
      </c>
      <c r="C1" s="37" t="s">
        <v>113</v>
      </c>
      <c r="D1" s="38" t="s">
        <v>114</v>
      </c>
      <c r="E1" s="39" t="s">
        <v>115</v>
      </c>
      <c r="I1" s="89" t="s">
        <v>116</v>
      </c>
    </row>
    <row r="2" spans="1:10" ht="19.5" customHeight="1" x14ac:dyDescent="0.2">
      <c r="A2" s="40" t="s">
        <v>45</v>
      </c>
      <c r="B2" s="41">
        <f>VLOOKUP(A2,Owner_Master!A:E,4,0)+(VLOOKUP(A2,Owner_Master!A:E,3,0)*VLOOKUP(A2,Owner_Master!A:E,5,0))</f>
        <v>10500</v>
      </c>
      <c r="C2" s="42">
        <f>SUMIF(Transaction_Log!$B:$B,$A2,Transaction_Log!$C:$C)</f>
        <v>9000</v>
      </c>
      <c r="D2" s="41">
        <f t="shared" ref="D2:D33" si="0">B2-C2</f>
        <v>1500</v>
      </c>
      <c r="E2" s="43" t="str">
        <f t="array" ref="E2">_xlfn.IFS(D2&gt;0, "Arrears", D2&lt;0, "Prepaid", D2=0, "Settled")</f>
        <v>Arrears</v>
      </c>
      <c r="I2" s="44" t="s">
        <v>117</v>
      </c>
      <c r="J2" s="45">
        <f>+Owner_Master!D55</f>
        <v>475500</v>
      </c>
    </row>
    <row r="3" spans="1:10" ht="19.5" customHeight="1" x14ac:dyDescent="0.2">
      <c r="A3" s="46" t="s">
        <v>29</v>
      </c>
      <c r="B3" s="41">
        <f>VLOOKUP(A3,Owner_Master!A:E,4,0)+(VLOOKUP(A3,Owner_Master!A:E,3,0)*VLOOKUP(A3,Owner_Master!A:E,5,0))</f>
        <v>9000</v>
      </c>
      <c r="C3" s="42">
        <f>SUMIF(Transaction_Log!$B:$B,$A3,Transaction_Log!$C:$C)</f>
        <v>6000</v>
      </c>
      <c r="D3" s="41">
        <f t="shared" si="0"/>
        <v>3000</v>
      </c>
      <c r="E3" s="43" t="str">
        <f t="array" ref="E3">_xlfn.IFS(D3&gt;0, "Arrears", D3&lt;0, "Prepaid", D3=0, "Settled")</f>
        <v>Arrears</v>
      </c>
      <c r="I3" s="44" t="s">
        <v>118</v>
      </c>
      <c r="J3" s="45">
        <f>78000*5</f>
        <v>390000</v>
      </c>
    </row>
    <row r="4" spans="1:10" ht="19.5" customHeight="1" x14ac:dyDescent="0.2">
      <c r="A4" s="40" t="s">
        <v>31</v>
      </c>
      <c r="B4" s="41">
        <f>VLOOKUP(A4,Owner_Master!A:E,4,0)+(VLOOKUP(A4,Owner_Master!A:E,3,0)*VLOOKUP(A4,Owner_Master!A:E,5,0))</f>
        <v>9000</v>
      </c>
      <c r="C4" s="47">
        <f>SUMIF(Transaction_Log!$B:$B,$A4,Transaction_Log!$C:$C)</f>
        <v>6000</v>
      </c>
      <c r="D4" s="41">
        <f t="shared" si="0"/>
        <v>3000</v>
      </c>
      <c r="E4" s="43" t="str">
        <f t="array" ref="E4">_xlfn.IFS(D4&gt;0, "Arrears", D4&lt;0, "Prepaid", D4=0, "Settled")</f>
        <v>Arrears</v>
      </c>
      <c r="I4" s="44"/>
      <c r="J4" s="45">
        <f>+J3+J2</f>
        <v>865500</v>
      </c>
    </row>
    <row r="5" spans="1:10" ht="19.5" customHeight="1" x14ac:dyDescent="0.2">
      <c r="A5" s="46" t="s">
        <v>98</v>
      </c>
      <c r="B5" s="41">
        <f>VLOOKUP(A5,Owner_Master!A:E,4,0)+(VLOOKUP(A5,Owner_Master!A:E,3,0)*VLOOKUP(A5,Owner_Master!A:E,5,0))</f>
        <v>1500</v>
      </c>
      <c r="C5" s="42">
        <f>SUMIF(Transaction_Log!$B:$B,$A5,Transaction_Log!$C:$C)</f>
        <v>18000</v>
      </c>
      <c r="D5" s="41">
        <f t="shared" si="0"/>
        <v>-16500</v>
      </c>
      <c r="E5" s="43" t="str">
        <f t="array" ref="E5">_xlfn.IFS(D5&gt;0, "Arrears", D5&lt;0, "Prepaid", D5=0, "Settled")</f>
        <v>Prepaid</v>
      </c>
      <c r="I5" s="44"/>
      <c r="J5" s="44"/>
    </row>
    <row r="6" spans="1:10" ht="19.5" customHeight="1" x14ac:dyDescent="0.2">
      <c r="A6" s="46" t="s">
        <v>67</v>
      </c>
      <c r="B6" s="41">
        <f>VLOOKUP(A6,Owner_Master!A:E,4,0)+(VLOOKUP(A6,Owner_Master!A:E,3,0)*VLOOKUP(A6,Owner_Master!A:E,5,0))</f>
        <v>22500</v>
      </c>
      <c r="C6" s="47">
        <f>SUMIF(Transaction_Log!$B:$B,$A6,Transaction_Log!$C:$C)</f>
        <v>0</v>
      </c>
      <c r="D6" s="41">
        <f t="shared" si="0"/>
        <v>22500</v>
      </c>
      <c r="E6" s="43" t="str">
        <f t="array" ref="E6">_xlfn.IFS(D6&gt;0, "Arrears", D6&lt;0, "Prepaid", D6=0, "Settled")</f>
        <v>Arrears</v>
      </c>
      <c r="I6" s="105" t="s">
        <v>119</v>
      </c>
      <c r="J6" s="45">
        <f>+Transaction_Log!C135</f>
        <v>577000</v>
      </c>
    </row>
    <row r="7" spans="1:10" ht="19.5" customHeight="1" x14ac:dyDescent="0.2">
      <c r="A7" s="46" t="s">
        <v>5</v>
      </c>
      <c r="B7" s="41">
        <f>VLOOKUP(A7,Owner_Master!A:E,4,0)+(VLOOKUP(A7,Owner_Master!A:E,3,0)*VLOOKUP(A7,Owner_Master!A:E,5,0))</f>
        <v>7500</v>
      </c>
      <c r="C7" s="42">
        <f>SUMIF(Transaction_Log!$B:$B,$A7,Transaction_Log!$C:$C)</f>
        <v>3000</v>
      </c>
      <c r="D7" s="41">
        <f t="shared" si="0"/>
        <v>4500</v>
      </c>
      <c r="E7" s="43" t="str">
        <f t="array" ref="E7">_xlfn.IFS(D7&gt;0, "Arrears", D7&lt;0, "Prepaid", D7=0, "Settled")</f>
        <v>Arrears</v>
      </c>
      <c r="I7" s="44"/>
      <c r="J7" s="44"/>
    </row>
    <row r="8" spans="1:10" ht="19.5" customHeight="1" x14ac:dyDescent="0.2">
      <c r="A8" s="46" t="s">
        <v>73</v>
      </c>
      <c r="B8" s="41">
        <f>VLOOKUP(A8,Owner_Master!A:E,4,0)+(VLOOKUP(A8,Owner_Master!A:E,3,0)*VLOOKUP(A8,Owner_Master!A:E,5,0))</f>
        <v>24000</v>
      </c>
      <c r="C8" s="47">
        <f>SUMIF(Transaction_Log!$B:$B,$A8,Transaction_Log!$C:$C)</f>
        <v>18000</v>
      </c>
      <c r="D8" s="41">
        <f t="shared" si="0"/>
        <v>6000</v>
      </c>
      <c r="E8" s="43" t="str">
        <f t="array" ref="E8">_xlfn.IFS(D8&gt;0, "Arrears", D8&lt;0, "Prepaid", D8=0, "Settled")</f>
        <v>Arrears</v>
      </c>
      <c r="I8" s="44" t="s">
        <v>120</v>
      </c>
      <c r="J8" s="48">
        <f>+J4-J6</f>
        <v>288500</v>
      </c>
    </row>
    <row r="9" spans="1:10" ht="19.5" customHeight="1" x14ac:dyDescent="0.2">
      <c r="A9" s="46" t="s">
        <v>102</v>
      </c>
      <c r="B9" s="41">
        <f>VLOOKUP(A9,Owner_Master!A:E,4,0)+(VLOOKUP(A9,Owner_Master!A:E,3,0)*VLOOKUP(A9,Owner_Master!A:E,5,0))</f>
        <v>6000</v>
      </c>
      <c r="C9" s="42">
        <f>SUMIF(Transaction_Log!$B:$B,$A9,Transaction_Log!$C:$C)</f>
        <v>6000</v>
      </c>
      <c r="D9" s="41">
        <f t="shared" si="0"/>
        <v>0</v>
      </c>
      <c r="E9" s="43" t="str">
        <f t="array" ref="E9">_xlfn.IFS(D9&gt;0, "Arrears", D9&lt;0, "Prepaid", D9=0, "Settled")</f>
        <v>Settled</v>
      </c>
    </row>
    <row r="10" spans="1:10" ht="19.5" customHeight="1" x14ac:dyDescent="0.2">
      <c r="A10" s="46" t="s">
        <v>7</v>
      </c>
      <c r="B10" s="41">
        <f>VLOOKUP(A10,Owner_Master!A:E,4,0)+(VLOOKUP(A10,Owner_Master!A:E,3,0)*VLOOKUP(A10,Owner_Master!A:E,5,0))</f>
        <v>7500</v>
      </c>
      <c r="C10" s="42">
        <f>SUMIF(Transaction_Log!$B:$B,$A10,Transaction_Log!$C:$C)</f>
        <v>7500</v>
      </c>
      <c r="D10" s="41">
        <f t="shared" si="0"/>
        <v>0</v>
      </c>
      <c r="E10" s="43" t="str">
        <f t="array" ref="E10">_xlfn.IFS(D10&gt;0, "Arrears", D10&lt;0, "Prepaid", D10=0, "Settled")</f>
        <v>Settled</v>
      </c>
      <c r="I10" s="49" t="s">
        <v>121</v>
      </c>
      <c r="J10" s="90" t="s">
        <v>121</v>
      </c>
    </row>
    <row r="11" spans="1:10" ht="19.5" customHeight="1" x14ac:dyDescent="0.2">
      <c r="A11" s="46" t="s">
        <v>87</v>
      </c>
      <c r="B11" s="41">
        <f>VLOOKUP(A11,Owner_Master!A:E,4,0)+(VLOOKUP(A11,Owner_Master!A:E,3,0)*VLOOKUP(A11,Owner_Master!A:E,5,0))</f>
        <v>39000</v>
      </c>
      <c r="C11" s="47">
        <f>SUMIF(Transaction_Log!$B:$B,$A11,Transaction_Log!$C:$C)</f>
        <v>31000</v>
      </c>
      <c r="D11" s="41">
        <f t="shared" si="0"/>
        <v>8000</v>
      </c>
      <c r="E11" s="43" t="str">
        <f t="array" ref="E11">_xlfn.IFS(D11&gt;0, "Arrears", D11&lt;0, "Prepaid", D11=0, "Settled")</f>
        <v>Arrears</v>
      </c>
      <c r="J11" s="75"/>
    </row>
    <row r="12" spans="1:10" ht="19.5" customHeight="1" x14ac:dyDescent="0.2">
      <c r="A12" s="46" t="s">
        <v>33</v>
      </c>
      <c r="B12" s="41">
        <f>VLOOKUP(A12,Owner_Master!A:E,4,0)+(VLOOKUP(A12,Owner_Master!A:E,3,0)*VLOOKUP(A12,Owner_Master!A:E,5,0))</f>
        <v>9000</v>
      </c>
      <c r="C12" s="42">
        <f>SUMIF(Transaction_Log!$B:$B,$A12,Transaction_Log!$C:$C)</f>
        <v>9000</v>
      </c>
      <c r="D12" s="41">
        <f t="shared" si="0"/>
        <v>0</v>
      </c>
      <c r="E12" s="43" t="str">
        <f t="array" ref="E12">_xlfn.IFS(D12&gt;0, "Arrears", D12&lt;0, "Prepaid", D12=0, "Settled")</f>
        <v>Settled</v>
      </c>
      <c r="J12" s="91" t="s">
        <v>121</v>
      </c>
    </row>
    <row r="13" spans="1:10" ht="19.5" customHeight="1" x14ac:dyDescent="0.2">
      <c r="A13" s="46" t="s">
        <v>9</v>
      </c>
      <c r="B13" s="41">
        <f>VLOOKUP(A13,Owner_Master!A:E,4,0)+(VLOOKUP(A13,Owner_Master!A:E,3,0)*VLOOKUP(A13,Owner_Master!A:E,5,0))</f>
        <v>7500</v>
      </c>
      <c r="C13" s="42">
        <f>SUMIF(Transaction_Log!$B:$B,$A13,Transaction_Log!$C:$C)</f>
        <v>6000</v>
      </c>
      <c r="D13" s="41">
        <f t="shared" si="0"/>
        <v>1500</v>
      </c>
      <c r="E13" s="43" t="str">
        <f t="array" ref="E13">_xlfn.IFS(D13&gt;0, "Arrears", D13&lt;0, "Prepaid", D13=0, "Settled")</f>
        <v>Arrears</v>
      </c>
    </row>
    <row r="14" spans="1:10" ht="19.5" customHeight="1" x14ac:dyDescent="0.2">
      <c r="A14" s="46" t="s">
        <v>65</v>
      </c>
      <c r="B14" s="41">
        <f>VLOOKUP(A14,Owner_Master!A:E,4,0)+(VLOOKUP(A14,Owner_Master!A:E,3,0)*VLOOKUP(A14,Owner_Master!A:E,5,0))</f>
        <v>18500</v>
      </c>
      <c r="C14" s="42">
        <f>SUMIF(Transaction_Log!$B:$B,$A14,Transaction_Log!$C:$C)</f>
        <v>24500</v>
      </c>
      <c r="D14" s="41">
        <f t="shared" si="0"/>
        <v>-6000</v>
      </c>
      <c r="E14" s="43" t="str">
        <f t="array" ref="E14">_xlfn.IFS(D14&gt;0, "Arrears", D14&lt;0, "Prepaid", D14=0, "Settled")</f>
        <v>Prepaid</v>
      </c>
    </row>
    <row r="15" spans="1:10" ht="19.5" customHeight="1" x14ac:dyDescent="0.2">
      <c r="A15" s="46" t="s">
        <v>69</v>
      </c>
      <c r="B15" s="41">
        <f>VLOOKUP(A15,Owner_Master!A:E,4,0)+(VLOOKUP(A15,Owner_Master!A:E,3,0)*VLOOKUP(A15,Owner_Master!A:E,5,0))</f>
        <v>22500</v>
      </c>
      <c r="C15" s="42">
        <f>SUMIF(Transaction_Log!$B:$B,$A15,Transaction_Log!$C:$C)</f>
        <v>22500</v>
      </c>
      <c r="D15" s="41">
        <f t="shared" si="0"/>
        <v>0</v>
      </c>
      <c r="E15" s="43" t="str">
        <f t="array" ref="E15">_xlfn.IFS(D15&gt;0, "Arrears", D15&lt;0, "Prepaid", D15=0, "Settled")</f>
        <v>Settled</v>
      </c>
    </row>
    <row r="16" spans="1:10" ht="19.5" customHeight="1" x14ac:dyDescent="0.2">
      <c r="A16" s="46" t="s">
        <v>11</v>
      </c>
      <c r="B16" s="41">
        <f>VLOOKUP(A16,Owner_Master!A:E,4,0)+(VLOOKUP(A16,Owner_Master!A:E,3,0)*VLOOKUP(A16,Owner_Master!A:E,5,0))</f>
        <v>7500</v>
      </c>
      <c r="C16" s="42">
        <f>SUMIF(Transaction_Log!$B:$B,$A16,Transaction_Log!$C:$C)</f>
        <v>7500</v>
      </c>
      <c r="D16" s="41">
        <f t="shared" si="0"/>
        <v>0</v>
      </c>
      <c r="E16" s="43" t="str">
        <f t="array" ref="E16">_xlfn.IFS(D16&gt;0, "Arrears", D16&lt;0, "Prepaid", D16=0, "Settled")</f>
        <v>Settled</v>
      </c>
    </row>
    <row r="17" spans="1:5" ht="19.5" customHeight="1" x14ac:dyDescent="0.2">
      <c r="A17" s="46" t="s">
        <v>13</v>
      </c>
      <c r="B17" s="41">
        <f>VLOOKUP(A17,Owner_Master!A:E,4,0)+(VLOOKUP(A17,Owner_Master!A:E,3,0)*VLOOKUP(A17,Owner_Master!A:E,5,0))</f>
        <v>7500</v>
      </c>
      <c r="C17" s="42">
        <f>SUMIF(Transaction_Log!$B:$B,$A17,Transaction_Log!$C:$C)</f>
        <v>7500</v>
      </c>
      <c r="D17" s="41">
        <f t="shared" si="0"/>
        <v>0</v>
      </c>
      <c r="E17" s="43" t="str">
        <f t="array" ref="E17">_xlfn.IFS(D17&gt;0, "Arrears", D17&lt;0, "Prepaid", D17=0, "Settled")</f>
        <v>Settled</v>
      </c>
    </row>
    <row r="18" spans="1:5" ht="19.5" customHeight="1" x14ac:dyDescent="0.2">
      <c r="A18" s="46" t="s">
        <v>47</v>
      </c>
      <c r="B18" s="41">
        <f>VLOOKUP(A18,Owner_Master!A:E,4,0)+(VLOOKUP(A18,Owner_Master!A:E,3,0)*VLOOKUP(A18,Owner_Master!A:E,5,0))</f>
        <v>10500</v>
      </c>
      <c r="C18" s="47">
        <f>SUMIF(Transaction_Log!$B:$B,$A18,Transaction_Log!$C:$C)</f>
        <v>7500</v>
      </c>
      <c r="D18" s="41">
        <f t="shared" si="0"/>
        <v>3000</v>
      </c>
      <c r="E18" s="43" t="str">
        <f t="array" ref="E18">_xlfn.IFS(D18&gt;0, "Arrears", D18&lt;0, "Prepaid", D18=0, "Settled")</f>
        <v>Arrears</v>
      </c>
    </row>
    <row r="19" spans="1:5" ht="19.5" customHeight="1" x14ac:dyDescent="0.2">
      <c r="A19" s="46" t="s">
        <v>15</v>
      </c>
      <c r="B19" s="41">
        <f>VLOOKUP(A19,Owner_Master!A:E,4,0)+(VLOOKUP(A19,Owner_Master!A:E,3,0)*VLOOKUP(A19,Owner_Master!A:E,5,0))</f>
        <v>7500</v>
      </c>
      <c r="C19" s="42">
        <f>SUMIF(Transaction_Log!$B:$B,$A19,Transaction_Log!$C:$C)</f>
        <v>3000</v>
      </c>
      <c r="D19" s="41">
        <f t="shared" si="0"/>
        <v>4500</v>
      </c>
      <c r="E19" s="43" t="str">
        <f t="array" ref="E19">_xlfn.IFS(D19&gt;0, "Arrears", D19&lt;0, "Prepaid", D19=0, "Settled")</f>
        <v>Arrears</v>
      </c>
    </row>
    <row r="20" spans="1:5" ht="19.5" customHeight="1" x14ac:dyDescent="0.2">
      <c r="A20" s="46" t="s">
        <v>75</v>
      </c>
      <c r="B20" s="41">
        <f>VLOOKUP(A20,Owner_Master!A:E,4,0)+(VLOOKUP(A20,Owner_Master!A:E,3,0)*VLOOKUP(A20,Owner_Master!A:E,5,0))</f>
        <v>24000</v>
      </c>
      <c r="C20" s="42">
        <f>SUMIF(Transaction_Log!$B:$B,$A20,Transaction_Log!$C:$C)</f>
        <v>24000</v>
      </c>
      <c r="D20" s="41">
        <f t="shared" si="0"/>
        <v>0</v>
      </c>
      <c r="E20" s="43" t="str">
        <f t="array" ref="E20">_xlfn.IFS(D20&gt;0, "Arrears", D20&lt;0, "Prepaid", D20=0, "Settled")</f>
        <v>Settled</v>
      </c>
    </row>
    <row r="21" spans="1:5" ht="19.5" customHeight="1" x14ac:dyDescent="0.2">
      <c r="A21" s="46" t="s">
        <v>104</v>
      </c>
      <c r="B21" s="41">
        <f>VLOOKUP(A21,Owner_Master!A:E,4,0)+(VLOOKUP(A21,Owner_Master!A:E,3,0)*VLOOKUP(A21,Owner_Master!A:E,5,0))</f>
        <v>6000</v>
      </c>
      <c r="C21" s="42">
        <f>SUMIF(Transaction_Log!$B:$B,$A21,Transaction_Log!$C:$C)</f>
        <v>4500</v>
      </c>
      <c r="D21" s="41">
        <f t="shared" si="0"/>
        <v>1500</v>
      </c>
      <c r="E21" s="43" t="str">
        <f t="array" ref="E21">_xlfn.IFS(D21&gt;0, "Arrears", D21&lt;0, "Prepaid", D21=0, "Settled")</f>
        <v>Arrears</v>
      </c>
    </row>
    <row r="22" spans="1:5" ht="19.5" customHeight="1" x14ac:dyDescent="0.2">
      <c r="A22" s="46" t="s">
        <v>17</v>
      </c>
      <c r="B22" s="41">
        <f>VLOOKUP(A22,Owner_Master!A:E,4,0)+(VLOOKUP(A22,Owner_Master!A:E,3,0)*VLOOKUP(A22,Owner_Master!A:E,5,0))</f>
        <v>7500</v>
      </c>
      <c r="C22" s="42">
        <f>SUMIF(Transaction_Log!$B:$B,$A22,Transaction_Log!$C:$C)</f>
        <v>6000</v>
      </c>
      <c r="D22" s="41">
        <f t="shared" si="0"/>
        <v>1500</v>
      </c>
      <c r="E22" s="43" t="str">
        <f t="array" ref="E22">_xlfn.IFS(D22&gt;0, "Arrears", D22&lt;0, "Prepaid", D22=0, "Settled")</f>
        <v>Arrears</v>
      </c>
    </row>
    <row r="23" spans="1:5" ht="19.5" customHeight="1" x14ac:dyDescent="0.2">
      <c r="A23" s="46" t="s">
        <v>77</v>
      </c>
      <c r="B23" s="41">
        <f>VLOOKUP(A23,Owner_Master!A:E,4,0)+(VLOOKUP(A23,Owner_Master!A:E,3,0)*VLOOKUP(A23,Owner_Master!A:E,5,0))</f>
        <v>24500</v>
      </c>
      <c r="C23" s="42">
        <f>SUMIF(Transaction_Log!$B:$B,$A23,Transaction_Log!$C:$C)</f>
        <v>0</v>
      </c>
      <c r="D23" s="41">
        <f t="shared" si="0"/>
        <v>24500</v>
      </c>
      <c r="E23" s="43" t="str">
        <f t="array" ref="E23">_xlfn.IFS(D23&gt;0, "Arrears", D23&lt;0, "Prepaid", D23=0, "Settled")</f>
        <v>Arrears</v>
      </c>
    </row>
    <row r="24" spans="1:5" ht="19.5" customHeight="1" x14ac:dyDescent="0.2">
      <c r="A24" s="46" t="s">
        <v>63</v>
      </c>
      <c r="B24" s="41">
        <f>VLOOKUP(A24,Owner_Master!A:E,4,0)+(VLOOKUP(A24,Owner_Master!A:E,3,0)*VLOOKUP(A24,Owner_Master!A:E,5,0))</f>
        <v>18000</v>
      </c>
      <c r="C24" s="42">
        <f>SUMIF(Transaction_Log!$B:$B,$A24,Transaction_Log!$C:$C)</f>
        <v>15000</v>
      </c>
      <c r="D24" s="41">
        <f t="shared" si="0"/>
        <v>3000</v>
      </c>
      <c r="E24" s="43" t="str">
        <f t="array" ref="E24">_xlfn.IFS(D24&gt;0, "Arrears", D24&lt;0, "Prepaid", D24=0, "Settled")</f>
        <v>Arrears</v>
      </c>
    </row>
    <row r="25" spans="1:5" ht="19.5" customHeight="1" x14ac:dyDescent="0.2">
      <c r="A25" s="46" t="s">
        <v>100</v>
      </c>
      <c r="B25" s="41">
        <f>VLOOKUP(A25,Owner_Master!A:E,4,0)+(VLOOKUP(A25,Owner_Master!A:E,3,0)*VLOOKUP(A25,Owner_Master!A:E,5,0))</f>
        <v>3000</v>
      </c>
      <c r="C25" s="42">
        <f>SUMIF(Transaction_Log!$B:$B,$A25,Transaction_Log!$C:$C)</f>
        <v>0</v>
      </c>
      <c r="D25" s="41">
        <f t="shared" si="0"/>
        <v>3000</v>
      </c>
      <c r="E25" s="43" t="str">
        <f t="array" ref="E25">_xlfn.IFS(D25&gt;0, "Arrears", D25&lt;0, "Prepaid", D25=0, "Settled")</f>
        <v>Arrears</v>
      </c>
    </row>
    <row r="26" spans="1:5" ht="19.5" customHeight="1" x14ac:dyDescent="0.2">
      <c r="A26" s="46" t="s">
        <v>61</v>
      </c>
      <c r="B26" s="41">
        <f>VLOOKUP(A26,Owner_Master!A:E,4,0)+(VLOOKUP(A26,Owner_Master!A:E,3,0)*VLOOKUP(A26,Owner_Master!A:E,5,0))</f>
        <v>16500</v>
      </c>
      <c r="C26" s="47">
        <f>SUMIF(Transaction_Log!$B:$B,$A26,Transaction_Log!$C:$C)</f>
        <v>13500</v>
      </c>
      <c r="D26" s="41">
        <f t="shared" si="0"/>
        <v>3000</v>
      </c>
      <c r="E26" s="43" t="str">
        <f t="array" ref="E26">_xlfn.IFS(D26&gt;0, "Arrears", D26&lt;0, "Prepaid", D26=0, "Settled")</f>
        <v>Arrears</v>
      </c>
    </row>
    <row r="27" spans="1:5" ht="19.5" customHeight="1" x14ac:dyDescent="0.2">
      <c r="A27" s="46" t="s">
        <v>79</v>
      </c>
      <c r="B27" s="41">
        <f>VLOOKUP(A27,Owner_Master!A:E,4,0)+(VLOOKUP(A27,Owner_Master!A:E,3,0)*VLOOKUP(A27,Owner_Master!A:E,5,0))</f>
        <v>25500</v>
      </c>
      <c r="C27" s="47">
        <f>SUMIF(Transaction_Log!$B:$B,$A27,Transaction_Log!$C:$C)</f>
        <v>22500</v>
      </c>
      <c r="D27" s="41">
        <f t="shared" si="0"/>
        <v>3000</v>
      </c>
      <c r="E27" s="43" t="str">
        <f t="array" ref="E27">_xlfn.IFS(D27&gt;0, "Arrears", D27&lt;0, "Prepaid", D27=0, "Settled")</f>
        <v>Arrears</v>
      </c>
    </row>
    <row r="28" spans="1:5" ht="19.5" customHeight="1" x14ac:dyDescent="0.2">
      <c r="A28" s="46" t="s">
        <v>94</v>
      </c>
      <c r="B28" s="41">
        <f>VLOOKUP(A28,Owner_Master!A:E,4,0)+(VLOOKUP(A28,Owner_Master!A:E,3,0)*VLOOKUP(A28,Owner_Master!A:E,5,0))</f>
        <v>48500</v>
      </c>
      <c r="C28" s="47">
        <f>SUMIF(Transaction_Log!$B:$B,$A28,Transaction_Log!$C:$C)</f>
        <v>4500</v>
      </c>
      <c r="D28" s="41">
        <f t="shared" si="0"/>
        <v>44000</v>
      </c>
      <c r="E28" s="43" t="str">
        <f t="array" ref="E28">_xlfn.IFS(D28&gt;0, "Arrears", D28&lt;0, "Prepaid", D28=0, "Settled")</f>
        <v>Arrears</v>
      </c>
    </row>
    <row r="29" spans="1:5" ht="19.5" customHeight="1" x14ac:dyDescent="0.2">
      <c r="A29" s="46" t="s">
        <v>19</v>
      </c>
      <c r="B29" s="41">
        <f>VLOOKUP(A29,Owner_Master!A:E,4,0)+(VLOOKUP(A29,Owner_Master!A:E,3,0)*VLOOKUP(A29,Owner_Master!A:E,5,0))</f>
        <v>7500</v>
      </c>
      <c r="C29" s="42">
        <f>SUMIF(Transaction_Log!$B:$B,$A29,Transaction_Log!$C:$C)</f>
        <v>6000</v>
      </c>
      <c r="D29" s="41">
        <f t="shared" si="0"/>
        <v>1500</v>
      </c>
      <c r="E29" s="43" t="str">
        <f t="array" ref="E29">_xlfn.IFS(D29&gt;0, "Arrears", D29&lt;0, "Prepaid", D29=0, "Settled")</f>
        <v>Arrears</v>
      </c>
    </row>
    <row r="30" spans="1:5" ht="19.5" customHeight="1" x14ac:dyDescent="0.2">
      <c r="A30" s="46" t="s">
        <v>57</v>
      </c>
      <c r="B30" s="41">
        <f>VLOOKUP(A30,Owner_Master!A:E,4,0)+(VLOOKUP(A30,Owner_Master!A:E,3,0)*VLOOKUP(A30,Owner_Master!A:E,5,0))</f>
        <v>13500</v>
      </c>
      <c r="C30" s="42">
        <f>SUMIF(Transaction_Log!$B:$B,$A30,Transaction_Log!$C:$C)</f>
        <v>12000</v>
      </c>
      <c r="D30" s="41">
        <f t="shared" si="0"/>
        <v>1500</v>
      </c>
      <c r="E30" s="43" t="str">
        <f t="array" ref="E30">_xlfn.IFS(D30&gt;0, "Arrears", D30&lt;0, "Prepaid", D30=0, "Settled")</f>
        <v>Arrears</v>
      </c>
    </row>
    <row r="31" spans="1:5" ht="19.5" customHeight="1" x14ac:dyDescent="0.2">
      <c r="A31" s="46" t="s">
        <v>21</v>
      </c>
      <c r="B31" s="41">
        <f>VLOOKUP(A31,Owner_Master!A:E,4,0)+(VLOOKUP(A31,Owner_Master!A:E,3,0)*VLOOKUP(A31,Owner_Master!A:E,5,0))</f>
        <v>7500</v>
      </c>
      <c r="C31" s="47">
        <f>SUMIF(Transaction_Log!$B:$B,$A31,Transaction_Log!$C:$C)</f>
        <v>4500</v>
      </c>
      <c r="D31" s="41">
        <f t="shared" si="0"/>
        <v>3000</v>
      </c>
      <c r="E31" s="43" t="str">
        <f t="array" ref="E31">_xlfn.IFS(D31&gt;0, "Arrears", D31&lt;0, "Prepaid", D31=0, "Settled")</f>
        <v>Arrears</v>
      </c>
    </row>
    <row r="32" spans="1:5" ht="19.5" customHeight="1" x14ac:dyDescent="0.2">
      <c r="A32" s="46" t="s">
        <v>23</v>
      </c>
      <c r="B32" s="41">
        <f>VLOOKUP(A32,Owner_Master!A:E,4,0)+(VLOOKUP(A32,Owner_Master!A:E,3,0)*VLOOKUP(A32,Owner_Master!A:E,5,0))</f>
        <v>7500</v>
      </c>
      <c r="C32" s="47">
        <f>SUMIF(Transaction_Log!$B:$B,$A32,Transaction_Log!$C:$C)</f>
        <v>7500</v>
      </c>
      <c r="D32" s="41">
        <f t="shared" si="0"/>
        <v>0</v>
      </c>
      <c r="E32" s="43" t="str">
        <f t="array" ref="E32">_xlfn.IFS(D32&gt;0, "Arrears", D32&lt;0, "Prepaid", D32=0, "Settled")</f>
        <v>Settled</v>
      </c>
    </row>
    <row r="33" spans="1:5" ht="19.5" customHeight="1" x14ac:dyDescent="0.2">
      <c r="A33" s="46" t="s">
        <v>25</v>
      </c>
      <c r="B33" s="41">
        <f>VLOOKUP(A33,Owner_Master!A:E,4,0)+(VLOOKUP(A33,Owner_Master!A:E,3,0)*VLOOKUP(A33,Owner_Master!A:E,5,0))</f>
        <v>7500</v>
      </c>
      <c r="C33" s="42">
        <f>SUMIF(Transaction_Log!$B:$B,$A33,Transaction_Log!$C:$C)</f>
        <v>4500</v>
      </c>
      <c r="D33" s="41">
        <f t="shared" si="0"/>
        <v>3000</v>
      </c>
      <c r="E33" s="43" t="str">
        <f t="array" ref="E33">_xlfn.IFS(D33&gt;0, "Arrears", D33&lt;0, "Prepaid", D33=0, "Settled")</f>
        <v>Arrears</v>
      </c>
    </row>
    <row r="34" spans="1:5" ht="19.5" customHeight="1" x14ac:dyDescent="0.2">
      <c r="A34" s="46" t="s">
        <v>59</v>
      </c>
      <c r="B34" s="41">
        <f>VLOOKUP(A34,Owner_Master!A:E,4,0)+(VLOOKUP(A34,Owner_Master!A:E,3,0)*VLOOKUP(A34,Owner_Master!A:E,5,0))</f>
        <v>13500</v>
      </c>
      <c r="C34" s="47">
        <f>SUMIF(Transaction_Log!$B:$B,$A34,Transaction_Log!$C:$C)</f>
        <v>13500</v>
      </c>
      <c r="D34" s="41">
        <f t="shared" ref="D34:D53" si="1">B34-C34</f>
        <v>0</v>
      </c>
      <c r="E34" s="43" t="str">
        <f t="array" ref="E34">_xlfn.IFS(D34&gt;0, "Arrears", D34&lt;0, "Prepaid", D34=0, "Settled")</f>
        <v>Settled</v>
      </c>
    </row>
    <row r="35" spans="1:5" ht="19.5" customHeight="1" x14ac:dyDescent="0.2">
      <c r="A35" s="46" t="s">
        <v>83</v>
      </c>
      <c r="B35" s="41">
        <f>VLOOKUP(A35,Owner_Master!A:E,4,0)+(VLOOKUP(A35,Owner_Master!A:E,3,0)*VLOOKUP(A35,Owner_Master!A:E,5,0))</f>
        <v>27000</v>
      </c>
      <c r="C35" s="42">
        <f>SUMIF(Transaction_Log!$B:$B,$A35,Transaction_Log!$C:$C)</f>
        <v>27000</v>
      </c>
      <c r="D35" s="41">
        <f t="shared" si="1"/>
        <v>0</v>
      </c>
      <c r="E35" s="43" t="str">
        <f t="array" ref="E35">_xlfn.IFS(D35&gt;0, "Arrears", D35&lt;0, "Prepaid", D35=0, "Settled")</f>
        <v>Settled</v>
      </c>
    </row>
    <row r="36" spans="1:5" ht="19.5" customHeight="1" x14ac:dyDescent="0.2">
      <c r="A36" s="46" t="s">
        <v>92</v>
      </c>
      <c r="B36" s="41">
        <f>VLOOKUP(A36,Owner_Master!A:E,4,0)+(VLOOKUP(A36,Owner_Master!A:E,3,0)*VLOOKUP(A36,Owner_Master!A:E,5,0))</f>
        <v>46500</v>
      </c>
      <c r="C36" s="47">
        <f>SUMIF(Transaction_Log!$B:$B,$A36,Transaction_Log!$C:$C)</f>
        <v>46500</v>
      </c>
      <c r="D36" s="41">
        <f t="shared" si="1"/>
        <v>0</v>
      </c>
      <c r="E36" s="43" t="str">
        <f t="array" ref="E36">_xlfn.IFS(D36&gt;0, "Arrears", D36&lt;0, "Prepaid", D36=0, "Settled")</f>
        <v>Settled</v>
      </c>
    </row>
    <row r="37" spans="1:5" ht="19.5" customHeight="1" x14ac:dyDescent="0.2">
      <c r="A37" s="46" t="s">
        <v>51</v>
      </c>
      <c r="B37" s="41">
        <f>VLOOKUP(A37,Owner_Master!A:E,4,0)+(VLOOKUP(A37,Owner_Master!A:E,3,0)*VLOOKUP(A37,Owner_Master!A:E,5,0))</f>
        <v>12000</v>
      </c>
      <c r="C37" s="42">
        <f>SUMIF(Transaction_Log!$B:$B,$A37,Transaction_Log!$C:$C)</f>
        <v>10500</v>
      </c>
      <c r="D37" s="41">
        <f t="shared" si="1"/>
        <v>1500</v>
      </c>
      <c r="E37" s="43" t="str">
        <f t="array" ref="E37">_xlfn.IFS(D37&gt;0, "Arrears", D37&lt;0, "Prepaid", D37=0, "Settled")</f>
        <v>Arrears</v>
      </c>
    </row>
    <row r="38" spans="1:5" ht="19.5" customHeight="1" x14ac:dyDescent="0.2">
      <c r="A38" s="46" t="s">
        <v>71</v>
      </c>
      <c r="B38" s="41">
        <f>VLOOKUP(A38,Owner_Master!A:E,4,0)+(VLOOKUP(A38,Owner_Master!A:E,3,0)*VLOOKUP(A38,Owner_Master!A:E,5,0))</f>
        <v>22500</v>
      </c>
      <c r="C38" s="47">
        <f>SUMIF(Transaction_Log!$B:$B,$A38,Transaction_Log!$C:$C)</f>
        <v>0</v>
      </c>
      <c r="D38" s="41">
        <f t="shared" si="1"/>
        <v>22500</v>
      </c>
      <c r="E38" s="43" t="str">
        <f t="array" ref="E38">_xlfn.IFS(D38&gt;0, "Arrears", D38&lt;0, "Prepaid", D38=0, "Settled")</f>
        <v>Arrears</v>
      </c>
    </row>
    <row r="39" spans="1:5" ht="19.5" customHeight="1" x14ac:dyDescent="0.2">
      <c r="A39" s="46" t="s">
        <v>85</v>
      </c>
      <c r="B39" s="41">
        <f>VLOOKUP(A39,Owner_Master!A:E,4,0)+(VLOOKUP(A39,Owner_Master!A:E,3,0)*VLOOKUP(A39,Owner_Master!A:E,5,0))</f>
        <v>34500</v>
      </c>
      <c r="C39" s="42">
        <f>SUMIF(Transaction_Log!$B:$B,$A39,Transaction_Log!$C:$C)</f>
        <v>36000</v>
      </c>
      <c r="D39" s="41">
        <f t="shared" si="1"/>
        <v>-1500</v>
      </c>
      <c r="E39" s="43" t="str">
        <f t="array" ref="E39">_xlfn.IFS(D39&gt;0, "Arrears", D39&lt;0, "Prepaid", D39=0, "Settled")</f>
        <v>Prepaid</v>
      </c>
    </row>
    <row r="40" spans="1:5" ht="19.5" customHeight="1" x14ac:dyDescent="0.2">
      <c r="A40" s="46" t="s">
        <v>35</v>
      </c>
      <c r="B40" s="41">
        <f>VLOOKUP(A40,Owner_Master!A:E,4,0)+(VLOOKUP(A40,Owner_Master!A:E,3,0)*VLOOKUP(A40,Owner_Master!A:E,5,0))</f>
        <v>9000</v>
      </c>
      <c r="C40" s="47">
        <f>SUMIF(Transaction_Log!$B:$B,$A40,Transaction_Log!$C:$C)</f>
        <v>0</v>
      </c>
      <c r="D40" s="41">
        <f t="shared" si="1"/>
        <v>9000</v>
      </c>
      <c r="E40" s="43" t="str">
        <f t="array" ref="E40">_xlfn.IFS(D40&gt;0, "Arrears", D40&lt;0, "Prepaid", D40=0, "Settled")</f>
        <v>Arrears</v>
      </c>
    </row>
    <row r="41" spans="1:5" ht="19.5" customHeight="1" x14ac:dyDescent="0.2">
      <c r="A41" s="46" t="s">
        <v>53</v>
      </c>
      <c r="B41" s="41">
        <f>VLOOKUP(A41,Owner_Master!A:E,4,0)+(VLOOKUP(A41,Owner_Master!A:E,3,0)*VLOOKUP(A41,Owner_Master!A:E,5,0))</f>
        <v>12000</v>
      </c>
      <c r="C41" s="47">
        <f>SUMIF(Transaction_Log!$B:$B,$A41,Transaction_Log!$C:$C)</f>
        <v>10500</v>
      </c>
      <c r="D41" s="41">
        <f t="shared" si="1"/>
        <v>1500</v>
      </c>
      <c r="E41" s="43" t="str">
        <f t="array" ref="E41">_xlfn.IFS(D41&gt;0, "Arrears", D41&lt;0, "Prepaid", D41=0, "Settled")</f>
        <v>Arrears</v>
      </c>
    </row>
    <row r="42" spans="1:5" ht="19.5" customHeight="1" x14ac:dyDescent="0.2">
      <c r="A42" s="46" t="s">
        <v>90</v>
      </c>
      <c r="B42" s="41">
        <f>VLOOKUP(A42,Owner_Master!A:E,4,0)+(VLOOKUP(A42,Owner_Master!A:E,3,0)*VLOOKUP(A42,Owner_Master!A:E,5,0))</f>
        <v>43000</v>
      </c>
      <c r="C42" s="47">
        <f>SUMIF(Transaction_Log!$B:$B,$A42,Transaction_Log!$C:$C)</f>
        <v>0</v>
      </c>
      <c r="D42" s="41">
        <f t="shared" si="1"/>
        <v>43000</v>
      </c>
      <c r="E42" s="43" t="str">
        <f t="array" ref="E42">_xlfn.IFS(D42&gt;0, "Arrears", D42&lt;0, "Prepaid", D42=0, "Settled")</f>
        <v>Arrears</v>
      </c>
    </row>
    <row r="43" spans="1:5" ht="19.5" customHeight="1" x14ac:dyDescent="0.2">
      <c r="A43" s="46" t="s">
        <v>37</v>
      </c>
      <c r="B43" s="41">
        <f>VLOOKUP(A43,Owner_Master!A:E,4,0)+(VLOOKUP(A43,Owner_Master!A:E,3,0)*VLOOKUP(A43,Owner_Master!A:E,5,0))</f>
        <v>9000</v>
      </c>
      <c r="C43" s="47">
        <f>SUMIF(Transaction_Log!$B:$B,$A43,Transaction_Log!$C:$C)</f>
        <v>9000</v>
      </c>
      <c r="D43" s="41">
        <f t="shared" si="1"/>
        <v>0</v>
      </c>
      <c r="E43" s="43" t="str">
        <f t="array" ref="E43">_xlfn.IFS(D43&gt;0, "Arrears", D43&lt;0, "Prepaid", D43=0, "Settled")</f>
        <v>Settled</v>
      </c>
    </row>
    <row r="44" spans="1:5" ht="19.5" customHeight="1" x14ac:dyDescent="0.2">
      <c r="A44" s="46" t="s">
        <v>81</v>
      </c>
      <c r="B44" s="41">
        <f>VLOOKUP(A44,Owner_Master!A:E,4,0)+(VLOOKUP(A44,Owner_Master!A:E,3,0)*VLOOKUP(A44,Owner_Master!A:E,5,0))</f>
        <v>25500</v>
      </c>
      <c r="C44" s="47">
        <f>SUMIF(Transaction_Log!$B:$B,$A44,Transaction_Log!$C:$C)</f>
        <v>18000</v>
      </c>
      <c r="D44" s="41">
        <f t="shared" si="1"/>
        <v>7500</v>
      </c>
      <c r="E44" s="43" t="str">
        <f t="array" ref="E44">_xlfn.IFS(D44&gt;0, "Arrears", D44&lt;0, "Prepaid", D44=0, "Settled")</f>
        <v>Arrears</v>
      </c>
    </row>
    <row r="45" spans="1:5" ht="19.5" customHeight="1" x14ac:dyDescent="0.2">
      <c r="A45" s="46" t="s">
        <v>43</v>
      </c>
      <c r="B45" s="41">
        <f>VLOOKUP(A45,Owner_Master!A:E,4,0)+(VLOOKUP(A45,Owner_Master!A:E,3,0)*VLOOKUP(A45,Owner_Master!A:E,5,0))</f>
        <v>9500</v>
      </c>
      <c r="C45" s="42">
        <f>SUMIF(Transaction_Log!$B:$B,$A45,Transaction_Log!$C:$C)</f>
        <v>8500</v>
      </c>
      <c r="D45" s="41">
        <f t="shared" si="1"/>
        <v>1000</v>
      </c>
      <c r="E45" s="43" t="str">
        <f t="array" ref="E45">_xlfn.IFS(D45&gt;0, "Arrears", D45&lt;0, "Prepaid", D45=0, "Settled")</f>
        <v>Arrears</v>
      </c>
    </row>
    <row r="46" spans="1:5" ht="19.5" customHeight="1" x14ac:dyDescent="0.2">
      <c r="A46" s="46" t="s">
        <v>89</v>
      </c>
      <c r="B46" s="41">
        <f>VLOOKUP(A46,Owner_Master!A:E,4,0)+(VLOOKUP(A46,Owner_Master!A:E,3,0)*VLOOKUP(A46,Owner_Master!A:E,5,0))</f>
        <v>39000</v>
      </c>
      <c r="C46" s="47">
        <f>SUMIF(Transaction_Log!$B:$B,$A46,Transaction_Log!$C:$C)</f>
        <v>40500</v>
      </c>
      <c r="D46" s="41">
        <f t="shared" si="1"/>
        <v>-1500</v>
      </c>
      <c r="E46" s="43" t="str">
        <f t="array" ref="E46">_xlfn.IFS(D46&gt;0, "Arrears", D46&lt;0, "Prepaid", D46=0, "Settled")</f>
        <v>Prepaid</v>
      </c>
    </row>
    <row r="47" spans="1:5" ht="19.5" customHeight="1" x14ac:dyDescent="0.2">
      <c r="A47" s="46" t="s">
        <v>39</v>
      </c>
      <c r="B47" s="41">
        <f>VLOOKUP(A47,Owner_Master!A:E,4,0)+(VLOOKUP(A47,Owner_Master!A:E,3,0)*VLOOKUP(A47,Owner_Master!A:E,5,0))</f>
        <v>9000</v>
      </c>
      <c r="C47" s="42">
        <f>SUMIF(Transaction_Log!$B:$B,$A47,Transaction_Log!$C:$C)</f>
        <v>7500</v>
      </c>
      <c r="D47" s="41">
        <f t="shared" si="1"/>
        <v>1500</v>
      </c>
      <c r="E47" s="43" t="str">
        <f t="array" ref="E47">_xlfn.IFS(D47&gt;0, "Arrears", D47&lt;0, "Prepaid", D47=0, "Settled")</f>
        <v>Arrears</v>
      </c>
    </row>
    <row r="48" spans="1:5" ht="19.5" customHeight="1" x14ac:dyDescent="0.2">
      <c r="A48" s="46" t="s">
        <v>96</v>
      </c>
      <c r="B48" s="41">
        <f>VLOOKUP(A48,Owner_Master!A:E,4,0)+(VLOOKUP(A48,Owner_Master!A:E,3,0)*VLOOKUP(A48,Owner_Master!A:E,5,0))</f>
        <v>63500</v>
      </c>
      <c r="C48" s="47">
        <f>SUMIF(Transaction_Log!$B:$B,$A48,Transaction_Log!$C:$C)</f>
        <v>4500</v>
      </c>
      <c r="D48" s="41">
        <f t="shared" si="1"/>
        <v>59000</v>
      </c>
      <c r="E48" s="43" t="str">
        <f t="array" ref="E48">_xlfn.IFS(D48&gt;0, "Arrears", D48&lt;0, "Prepaid", D48=0, "Settled")</f>
        <v>Arrears</v>
      </c>
    </row>
    <row r="49" spans="1:7" ht="19.5" customHeight="1" x14ac:dyDescent="0.2">
      <c r="A49" s="46" t="s">
        <v>106</v>
      </c>
      <c r="B49" s="41">
        <f>VLOOKUP(A49,Owner_Master!A:E,4,0)+(VLOOKUP(A49,Owner_Master!A:E,3,0)*VLOOKUP(A49,Owner_Master!A:E,5,0))</f>
        <v>7000</v>
      </c>
      <c r="C49" s="47">
        <f>SUMIF(Transaction_Log!$B:$B,$A49,Transaction_Log!$C:$C)</f>
        <v>0</v>
      </c>
      <c r="D49" s="41">
        <f t="shared" si="1"/>
        <v>7000</v>
      </c>
      <c r="E49" s="43" t="str">
        <f t="array" ref="E49">_xlfn.IFS(D49&gt;0, "Arrears", D49&lt;0, "Prepaid", D49=0, "Settled")</f>
        <v>Arrears</v>
      </c>
    </row>
    <row r="50" spans="1:7" ht="19.5" customHeight="1" x14ac:dyDescent="0.2">
      <c r="A50" s="46" t="s">
        <v>55</v>
      </c>
      <c r="B50" s="41">
        <f>VLOOKUP(A50,Owner_Master!A:E,4,0)+(VLOOKUP(A50,Owner_Master!A:E,3,0)*VLOOKUP(A50,Owner_Master!A:E,5,0))</f>
        <v>12000</v>
      </c>
      <c r="C50" s="47">
        <f>SUMIF(Transaction_Log!$B:$B,$A50,Transaction_Log!$C:$C)</f>
        <v>0</v>
      </c>
      <c r="D50" s="41">
        <f t="shared" si="1"/>
        <v>12000</v>
      </c>
      <c r="E50" s="43" t="str">
        <f t="array" ref="E50">_xlfn.IFS(D50&gt;0, "Arrears", D50&lt;0, "Prepaid", D50=0, "Settled")</f>
        <v>Arrears</v>
      </c>
    </row>
    <row r="51" spans="1:7" ht="19.5" customHeight="1" x14ac:dyDescent="0.2">
      <c r="A51" s="46" t="s">
        <v>27</v>
      </c>
      <c r="B51" s="41">
        <f>VLOOKUP(A51,Owner_Master!A:E,4,0)+(VLOOKUP(A51,Owner_Master!A:E,3,0)*VLOOKUP(A51,Owner_Master!A:E,5,0))</f>
        <v>7500</v>
      </c>
      <c r="C51" s="42">
        <f>SUMIF(Transaction_Log!$B:$B,$A51,Transaction_Log!$C:$C)</f>
        <v>7500</v>
      </c>
      <c r="D51" s="41">
        <f t="shared" si="1"/>
        <v>0</v>
      </c>
      <c r="E51" s="43" t="str">
        <f t="array" ref="E51">_xlfn.IFS(D51&gt;0, "Arrears", D51&lt;0, "Prepaid", D51=0, "Settled")</f>
        <v>Settled</v>
      </c>
    </row>
    <row r="52" spans="1:7" ht="19.5" customHeight="1" x14ac:dyDescent="0.2">
      <c r="A52" s="46" t="s">
        <v>49</v>
      </c>
      <c r="B52" s="41">
        <f>VLOOKUP(A52,Owner_Master!A:E,4,0)+(VLOOKUP(A52,Owner_Master!A:E,3,0)*VLOOKUP(A52,Owner_Master!A:E,5,0))</f>
        <v>10500</v>
      </c>
      <c r="C52" s="47">
        <f>SUMIF(Transaction_Log!$B:$B,$A52,Transaction_Log!$C:$C)</f>
        <v>12000</v>
      </c>
      <c r="D52" s="41">
        <f t="shared" si="1"/>
        <v>-1500</v>
      </c>
      <c r="E52" s="43" t="str">
        <f t="array" ref="E52">_xlfn.IFS(D52&gt;0, "Arrears", D52&lt;0, "Prepaid", D52=0, "Settled")</f>
        <v>Prepaid</v>
      </c>
    </row>
    <row r="53" spans="1:7" ht="20.25" customHeight="1" x14ac:dyDescent="0.2">
      <c r="A53" s="50" t="s">
        <v>41</v>
      </c>
      <c r="B53" s="51">
        <f>VLOOKUP(A53,Owner_Master!A:E,4,0)+(VLOOKUP(A53,Owner_Master!A:E,3,0)*VLOOKUP(A53,Owner_Master!A:E,5,0))</f>
        <v>9000</v>
      </c>
      <c r="C53" s="52">
        <f>SUMIF(Transaction_Log!$B:$B,$A53,Transaction_Log!$C:$C)</f>
        <v>9000</v>
      </c>
      <c r="D53" s="51">
        <f t="shared" si="1"/>
        <v>0</v>
      </c>
      <c r="E53" s="53" t="str">
        <f t="array" ref="E53">_xlfn.IFS(D53&gt;0, "Arrears", D53&lt;0, "Prepaid", D53=0, "Settled")</f>
        <v>Settled</v>
      </c>
    </row>
    <row r="56" spans="1:7" ht="15.75" customHeight="1" x14ac:dyDescent="0.2">
      <c r="B56" s="34">
        <f>SUM(Table3[Accrued Charges])</f>
        <v>865500</v>
      </c>
      <c r="C56" s="34">
        <f>SUM(Table3[Total Paid])</f>
        <v>577000</v>
      </c>
      <c r="D56" s="74">
        <f>SUM(Table3[[Current Status ]])</f>
        <v>288500</v>
      </c>
      <c r="G56" s="73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P55"/>
  <sheetViews>
    <sheetView tabSelected="1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E57" sqref="E57"/>
    </sheetView>
  </sheetViews>
  <sheetFormatPr defaultColWidth="12.5703125" defaultRowHeight="15.75" customHeight="1" x14ac:dyDescent="0.2"/>
  <cols>
    <col min="1" max="1" width="15.85546875" style="76" customWidth="1"/>
    <col min="2" max="2" width="51.85546875" style="76" customWidth="1"/>
    <col min="3" max="7" width="17.85546875" style="76" customWidth="1"/>
    <col min="8" max="14" width="17.85546875" style="76" hidden="1" customWidth="1"/>
    <col min="15" max="15" width="17.85546875" style="76" customWidth="1"/>
    <col min="16" max="16" width="16.28515625" style="76" customWidth="1"/>
    <col min="17" max="17" width="12.5703125" style="76" customWidth="1"/>
    <col min="18" max="16384" width="12.5703125" style="76"/>
  </cols>
  <sheetData>
    <row r="1" spans="1:16" ht="15.75" customHeight="1" thickBot="1" x14ac:dyDescent="0.3">
      <c r="A1" s="107" t="s">
        <v>122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92" t="s">
        <v>123</v>
      </c>
    </row>
    <row r="2" spans="1:16" ht="15.75" customHeight="1" thickBot="1" x14ac:dyDescent="0.3">
      <c r="A2" s="92" t="s">
        <v>0</v>
      </c>
      <c r="B2" s="92" t="s">
        <v>1</v>
      </c>
      <c r="C2" s="93">
        <v>46023</v>
      </c>
      <c r="D2" s="93">
        <v>46054</v>
      </c>
      <c r="E2" s="93">
        <v>46082</v>
      </c>
      <c r="F2" s="93">
        <v>46113</v>
      </c>
      <c r="G2" s="93">
        <v>46143</v>
      </c>
      <c r="H2" s="93">
        <v>46174</v>
      </c>
      <c r="I2" s="93">
        <v>46204</v>
      </c>
      <c r="J2" s="93">
        <v>46235</v>
      </c>
      <c r="K2" s="93">
        <v>46266</v>
      </c>
      <c r="L2" s="93">
        <v>46296</v>
      </c>
      <c r="M2" s="93">
        <v>46327</v>
      </c>
      <c r="N2" s="93">
        <v>46357</v>
      </c>
      <c r="O2" s="92" t="s">
        <v>124</v>
      </c>
      <c r="P2" s="92" t="s">
        <v>125</v>
      </c>
    </row>
    <row r="3" spans="1:16" ht="15.75" customHeight="1" x14ac:dyDescent="0.2">
      <c r="A3" s="80" t="s">
        <v>45</v>
      </c>
      <c r="B3" s="81" t="str">
        <f>VLOOKUP($A3,Owner_Master!$A:$B,2,FALSE)</f>
        <v>D. Abhimanyu &amp; Amrutha Abhimanyu</v>
      </c>
      <c r="C3" s="82">
        <f>SUMIFS(Transaction_Log!$C:$C, Transaction_Log!$B:$B, $A3, Transaction_Log!$A:$A, "&gt;="&amp;DATE(2026,1,1), Transaction_Log!$A:$A, "&lt;="&amp;DATE(2026,1,31))</f>
        <v>3000</v>
      </c>
      <c r="D3" s="82">
        <f>SUMIFS(Transaction_Log!$C:$C, Transaction_Log!$B:$B, $A3, Transaction_Log!$A:$A, "&gt;="&amp;DATE(2026,2,1), Transaction_Log!$A:$A, "&lt;="&amp;DATE(2026,2,28))</f>
        <v>3000</v>
      </c>
      <c r="E3" s="82">
        <f>SUMIFS(Transaction_Log!$C:$C, Transaction_Log!$B:$B, $A3, Transaction_Log!$A:$A, "&gt;="&amp;DATE(2026,3,1), Transaction_Log!$A:$A, "&lt;="&amp;DATE(2026,3,31))</f>
        <v>0</v>
      </c>
      <c r="F3" s="82">
        <f>SUMIFS(Transaction_Log!$C:$C, Transaction_Log!$B:$B, $A3, Transaction_Log!$A:$A, "&gt;="&amp;DATE(2026,4,1), Transaction_Log!$A:$A, "&lt;="&amp;DATE(2026,4,30))</f>
        <v>3000</v>
      </c>
      <c r="G3" s="82">
        <f>SUMIFS(Transaction_Log!$C:$C, Transaction_Log!$B:$B, $A3, Transaction_Log!$A:$A, "&gt;="&amp;DATE(2026,5,1), Transaction_Log!$A:$A, "&lt;="&amp;DATE(2026,5,31))</f>
        <v>0</v>
      </c>
      <c r="H3" s="95">
        <f>SUMIFS(Transaction_Log!$C:$C, Transaction_Log!$B:$B, $A3, Transaction_Log!$A:$A, "&gt;="&amp;DATE(2026,6,1), Transaction_Log!$A:$A, "&lt;="&amp;DATE(2026,6,30))</f>
        <v>0</v>
      </c>
      <c r="I3" s="95">
        <f>SUMIFS(Transaction_Log!$C:$C, Transaction_Log!$B:$B, $A3, Transaction_Log!$A:$A, "&gt;="&amp;DATE(2026,7,1), Transaction_Log!$A:$A, "&lt;="&amp;DATE(2026,7,31))</f>
        <v>0</v>
      </c>
      <c r="J3" s="95">
        <f>SUMIFS(Transaction_Log!$C:$C, Transaction_Log!$B:$B, $A3, Transaction_Log!$A:$A, "&gt;="&amp;DATE(2026,8,1), Transaction_Log!$A:$A, "&lt;="&amp;DATE(2026,8,31))</f>
        <v>0</v>
      </c>
      <c r="K3" s="95">
        <f>SUMIFS(Transaction_Log!$C:$C, Transaction_Log!$B:$B, $A3, Transaction_Log!$A:$A, "&gt;="&amp;DATE(2026,9,1), Transaction_Log!$A:$A, "&lt;="&amp;DATE(2026,9,30))</f>
        <v>0</v>
      </c>
      <c r="L3" s="95">
        <f>SUMIFS(Transaction_Log!$C:$C, Transaction_Log!$B:$B, $A3, Transaction_Log!$A:$A, "&gt;="&amp;DATE(2026,10,1), Transaction_Log!$A:$A, "&lt;="&amp;DATE(2026,10,31))</f>
        <v>0</v>
      </c>
      <c r="M3" s="95">
        <f>SUMIFS(Transaction_Log!$C:$C, Transaction_Log!$B:$B, $A3, Transaction_Log!$A:$A, "&gt;="&amp;DATE(2026,11,1), Transaction_Log!$A:$A, "&lt;="&amp;DATE(2026,11,30))</f>
        <v>0</v>
      </c>
      <c r="N3" s="95">
        <f>SUMIFS(Transaction_Log!$C:$C, Transaction_Log!$B:$B, $A3, Transaction_Log!$A:$A, "&gt;="&amp;DATE(2026,12,1), Transaction_Log!$A:$A, "&lt;="&amp;DATE(2026,12,31))</f>
        <v>0</v>
      </c>
      <c r="O3" s="101">
        <f t="shared" ref="O3:O34" si="0">SUM(C3:N3)</f>
        <v>9000</v>
      </c>
      <c r="P3" s="99">
        <f>+DashBoard!D2</f>
        <v>1500</v>
      </c>
    </row>
    <row r="4" spans="1:16" ht="15.75" customHeight="1" x14ac:dyDescent="0.2">
      <c r="A4" s="79" t="s">
        <v>29</v>
      </c>
      <c r="B4" s="77" t="str">
        <f>VLOOKUP($A4,Owner_Master!$A:$B,2,FALSE)</f>
        <v>Shyamala Krishnan</v>
      </c>
      <c r="C4" s="78">
        <f>SUMIFS(Transaction_Log!$C:$C, Transaction_Log!$B:$B, $A4, Transaction_Log!$A:$A, "&gt;="&amp;DATE(2026,1,1), Transaction_Log!$A:$A, "&lt;="&amp;DATE(2026,1,31))</f>
        <v>1500</v>
      </c>
      <c r="D4" s="78">
        <f>SUMIFS(Transaction_Log!$C:$C, Transaction_Log!$B:$B, $A4, Transaction_Log!$A:$A, "&gt;="&amp;DATE(2026,2,1), Transaction_Log!$A:$A, "&lt;="&amp;DATE(2026,2,28))</f>
        <v>0</v>
      </c>
      <c r="E4" s="78">
        <f>SUMIFS(Transaction_Log!$C:$C, Transaction_Log!$B:$B, $A4, Transaction_Log!$A:$A, "&gt;="&amp;DATE(2026,3,1), Transaction_Log!$A:$A, "&lt;="&amp;DATE(2026,3,31))</f>
        <v>4500</v>
      </c>
      <c r="F4" s="78">
        <f>SUMIFS(Transaction_Log!$C:$C, Transaction_Log!$B:$B, $A4, Transaction_Log!$A:$A, "&gt;="&amp;DATE(2026,4,1), Transaction_Log!$A:$A, "&lt;="&amp;DATE(2026,4,30))</f>
        <v>0</v>
      </c>
      <c r="G4" s="78">
        <f>SUMIFS(Transaction_Log!$C:$C, Transaction_Log!$B:$B, $A4, Transaction_Log!$A:$A, "&gt;="&amp;DATE(2026,5,1), Transaction_Log!$A:$A, "&lt;="&amp;DATE(2026,5,31))</f>
        <v>0</v>
      </c>
      <c r="H4" s="96">
        <f>SUMIFS(Transaction_Log!$C:$C, Transaction_Log!$B:$B, $A4, Transaction_Log!$A:$A, "&gt;="&amp;DATE(2026,6,1), Transaction_Log!$A:$A, "&lt;="&amp;DATE(2026,6,30))</f>
        <v>0</v>
      </c>
      <c r="I4" s="96">
        <f>SUMIFS(Transaction_Log!$C:$C, Transaction_Log!$B:$B, $A4, Transaction_Log!$A:$A, "&gt;="&amp;DATE(2026,7,1), Transaction_Log!$A:$A, "&lt;="&amp;DATE(2026,7,31))</f>
        <v>0</v>
      </c>
      <c r="J4" s="96">
        <f>SUMIFS(Transaction_Log!$C:$C, Transaction_Log!$B:$B, $A4, Transaction_Log!$A:$A, "&gt;="&amp;DATE(2026,8,1), Transaction_Log!$A:$A, "&lt;="&amp;DATE(2026,8,31))</f>
        <v>0</v>
      </c>
      <c r="K4" s="96">
        <f>SUMIFS(Transaction_Log!$C:$C, Transaction_Log!$B:$B, $A4, Transaction_Log!$A:$A, "&gt;="&amp;DATE(2026,9,1), Transaction_Log!$A:$A, "&lt;="&amp;DATE(2026,9,30))</f>
        <v>0</v>
      </c>
      <c r="L4" s="96">
        <f>SUMIFS(Transaction_Log!$C:$C, Transaction_Log!$B:$B, $A4, Transaction_Log!$A:$A, "&gt;="&amp;DATE(2026,10,1), Transaction_Log!$A:$A, "&lt;="&amp;DATE(2026,10,31))</f>
        <v>0</v>
      </c>
      <c r="M4" s="96">
        <f>SUMIFS(Transaction_Log!$C:$C, Transaction_Log!$B:$B, $A4, Transaction_Log!$A:$A, "&gt;="&amp;DATE(2026,11,1), Transaction_Log!$A:$A, "&lt;="&amp;DATE(2026,11,30))</f>
        <v>0</v>
      </c>
      <c r="N4" s="96">
        <f>SUMIFS(Transaction_Log!$C:$C, Transaction_Log!$B:$B, $A4, Transaction_Log!$A:$A, "&gt;="&amp;DATE(2026,12,1), Transaction_Log!$A:$A, "&lt;="&amp;DATE(2026,12,31))</f>
        <v>0</v>
      </c>
      <c r="O4" s="102">
        <f t="shared" si="0"/>
        <v>6000</v>
      </c>
      <c r="P4" s="99">
        <f>+DashBoard!D3</f>
        <v>3000</v>
      </c>
    </row>
    <row r="5" spans="1:16" ht="15.75" customHeight="1" x14ac:dyDescent="0.2">
      <c r="A5" s="79" t="s">
        <v>31</v>
      </c>
      <c r="B5" s="77" t="str">
        <f>VLOOKUP($A5,Owner_Master!$A:$B,2,FALSE)</f>
        <v xml:space="preserve">Aishwarya Anandanathan </v>
      </c>
      <c r="C5" s="78">
        <f>SUMIFS(Transaction_Log!$C:$C, Transaction_Log!$B:$B, $A5, Transaction_Log!$A:$A, "&gt;="&amp;DATE(2026,1,1), Transaction_Log!$A:$A, "&lt;="&amp;DATE(2026,1,31))</f>
        <v>0</v>
      </c>
      <c r="D5" s="78">
        <f>SUMIFS(Transaction_Log!$C:$C, Transaction_Log!$B:$B, $A5, Transaction_Log!$A:$A, "&gt;="&amp;DATE(2026,2,1), Transaction_Log!$A:$A, "&lt;="&amp;DATE(2026,2,28))</f>
        <v>0</v>
      </c>
      <c r="E5" s="78">
        <f>SUMIFS(Transaction_Log!$C:$C, Transaction_Log!$B:$B, $A5, Transaction_Log!$A:$A, "&gt;="&amp;DATE(2026,3,1), Transaction_Log!$A:$A, "&lt;="&amp;DATE(2026,3,31))</f>
        <v>6000</v>
      </c>
      <c r="F5" s="78">
        <f>SUMIFS(Transaction_Log!$C:$C, Transaction_Log!$B:$B, $A5, Transaction_Log!$A:$A, "&gt;="&amp;DATE(2026,4,1), Transaction_Log!$A:$A, "&lt;="&amp;DATE(2026,4,30))</f>
        <v>0</v>
      </c>
      <c r="G5" s="78">
        <f>SUMIFS(Transaction_Log!$C:$C, Transaction_Log!$B:$B, $A5, Transaction_Log!$A:$A, "&gt;="&amp;DATE(2026,5,1), Transaction_Log!$A:$A, "&lt;="&amp;DATE(2026,5,31))</f>
        <v>0</v>
      </c>
      <c r="H5" s="96">
        <f>SUMIFS(Transaction_Log!$C:$C, Transaction_Log!$B:$B, $A5, Transaction_Log!$A:$A, "&gt;="&amp;DATE(2026,6,1), Transaction_Log!$A:$A, "&lt;="&amp;DATE(2026,6,30))</f>
        <v>0</v>
      </c>
      <c r="I5" s="96">
        <f>SUMIFS(Transaction_Log!$C:$C, Transaction_Log!$B:$B, $A5, Transaction_Log!$A:$A, "&gt;="&amp;DATE(2026,7,1), Transaction_Log!$A:$A, "&lt;="&amp;DATE(2026,7,31))</f>
        <v>0</v>
      </c>
      <c r="J5" s="96">
        <f>SUMIFS(Transaction_Log!$C:$C, Transaction_Log!$B:$B, $A5, Transaction_Log!$A:$A, "&gt;="&amp;DATE(2026,8,1), Transaction_Log!$A:$A, "&lt;="&amp;DATE(2026,8,31))</f>
        <v>0</v>
      </c>
      <c r="K5" s="96">
        <f>SUMIFS(Transaction_Log!$C:$C, Transaction_Log!$B:$B, $A5, Transaction_Log!$A:$A, "&gt;="&amp;DATE(2026,9,1), Transaction_Log!$A:$A, "&lt;="&amp;DATE(2026,9,30))</f>
        <v>0</v>
      </c>
      <c r="L5" s="96">
        <f>SUMIFS(Transaction_Log!$C:$C, Transaction_Log!$B:$B, $A5, Transaction_Log!$A:$A, "&gt;="&amp;DATE(2026,10,1), Transaction_Log!$A:$A, "&lt;="&amp;DATE(2026,10,31))</f>
        <v>0</v>
      </c>
      <c r="M5" s="96">
        <f>SUMIFS(Transaction_Log!$C:$C, Transaction_Log!$B:$B, $A5, Transaction_Log!$A:$A, "&gt;="&amp;DATE(2026,11,1), Transaction_Log!$A:$A, "&lt;="&amp;DATE(2026,11,30))</f>
        <v>0</v>
      </c>
      <c r="N5" s="96">
        <f>SUMIFS(Transaction_Log!$C:$C, Transaction_Log!$B:$B, $A5, Transaction_Log!$A:$A, "&gt;="&amp;DATE(2026,12,1), Transaction_Log!$A:$A, "&lt;="&amp;DATE(2026,12,31))</f>
        <v>0</v>
      </c>
      <c r="O5" s="102">
        <f t="shared" si="0"/>
        <v>6000</v>
      </c>
      <c r="P5" s="99">
        <f>+DashBoard!D4</f>
        <v>3000</v>
      </c>
    </row>
    <row r="6" spans="1:16" ht="15.75" customHeight="1" x14ac:dyDescent="0.2">
      <c r="A6" s="79" t="s">
        <v>98</v>
      </c>
      <c r="B6" s="77" t="str">
        <f>VLOOKUP($A6,Owner_Master!$A:$B,2,FALSE)</f>
        <v xml:space="preserve">Vishwanath Mohan </v>
      </c>
      <c r="C6" s="78">
        <f>SUMIFS(Transaction_Log!$C:$C, Transaction_Log!$B:$B, $A6, Transaction_Log!$A:$A, "&gt;="&amp;DATE(2026,1,1), Transaction_Log!$A:$A, "&lt;="&amp;DATE(2026,1,31))</f>
        <v>0</v>
      </c>
      <c r="D6" s="78">
        <f>SUMIFS(Transaction_Log!$C:$C, Transaction_Log!$B:$B, $A6, Transaction_Log!$A:$A, "&gt;="&amp;DATE(2026,2,1), Transaction_Log!$A:$A, "&lt;="&amp;DATE(2026,2,28))</f>
        <v>0</v>
      </c>
      <c r="E6" s="78">
        <f>SUMIFS(Transaction_Log!$C:$C, Transaction_Log!$B:$B, $A6, Transaction_Log!$A:$A, "&gt;="&amp;DATE(2026,3,1), Transaction_Log!$A:$A, "&lt;="&amp;DATE(2026,3,31))</f>
        <v>0</v>
      </c>
      <c r="F6" s="78">
        <f>SUMIFS(Transaction_Log!$C:$C, Transaction_Log!$B:$B, $A6, Transaction_Log!$A:$A, "&gt;="&amp;DATE(2026,4,1), Transaction_Log!$A:$A, "&lt;="&amp;DATE(2026,4,30))</f>
        <v>0</v>
      </c>
      <c r="G6" s="78">
        <f>SUMIFS(Transaction_Log!$C:$C, Transaction_Log!$B:$B, $A6, Transaction_Log!$A:$A, "&gt;="&amp;DATE(2026,5,1), Transaction_Log!$A:$A, "&lt;="&amp;DATE(2026,5,31))</f>
        <v>18000</v>
      </c>
      <c r="H6" s="96">
        <f>SUMIFS(Transaction_Log!$C:$C, Transaction_Log!$B:$B, $A6, Transaction_Log!$A:$A, "&gt;="&amp;DATE(2026,6,1), Transaction_Log!$A:$A, "&lt;="&amp;DATE(2026,6,30))</f>
        <v>0</v>
      </c>
      <c r="I6" s="96">
        <f>SUMIFS(Transaction_Log!$C:$C, Transaction_Log!$B:$B, $A6, Transaction_Log!$A:$A, "&gt;="&amp;DATE(2026,7,1), Transaction_Log!$A:$A, "&lt;="&amp;DATE(2026,7,31))</f>
        <v>0</v>
      </c>
      <c r="J6" s="96">
        <f>SUMIFS(Transaction_Log!$C:$C, Transaction_Log!$B:$B, $A6, Transaction_Log!$A:$A, "&gt;="&amp;DATE(2026,8,1), Transaction_Log!$A:$A, "&lt;="&amp;DATE(2026,8,31))</f>
        <v>0</v>
      </c>
      <c r="K6" s="96">
        <f>SUMIFS(Transaction_Log!$C:$C, Transaction_Log!$B:$B, $A6, Transaction_Log!$A:$A, "&gt;="&amp;DATE(2026,9,1), Transaction_Log!$A:$A, "&lt;="&amp;DATE(2026,9,30))</f>
        <v>0</v>
      </c>
      <c r="L6" s="96">
        <f>SUMIFS(Transaction_Log!$C:$C, Transaction_Log!$B:$B, $A6, Transaction_Log!$A:$A, "&gt;="&amp;DATE(2026,10,1), Transaction_Log!$A:$A, "&lt;="&amp;DATE(2026,10,31))</f>
        <v>0</v>
      </c>
      <c r="M6" s="96">
        <f>SUMIFS(Transaction_Log!$C:$C, Transaction_Log!$B:$B, $A6, Transaction_Log!$A:$A, "&gt;="&amp;DATE(2026,11,1), Transaction_Log!$A:$A, "&lt;="&amp;DATE(2026,11,30))</f>
        <v>0</v>
      </c>
      <c r="N6" s="96">
        <f>SUMIFS(Transaction_Log!$C:$C, Transaction_Log!$B:$B, $A6, Transaction_Log!$A:$A, "&gt;="&amp;DATE(2026,12,1), Transaction_Log!$A:$A, "&lt;="&amp;DATE(2026,12,31))</f>
        <v>0</v>
      </c>
      <c r="O6" s="102">
        <f t="shared" si="0"/>
        <v>18000</v>
      </c>
      <c r="P6" s="99">
        <f>+DashBoard!D5</f>
        <v>-16500</v>
      </c>
    </row>
    <row r="7" spans="1:16" ht="15.75" customHeight="1" x14ac:dyDescent="0.2">
      <c r="A7" s="79" t="s">
        <v>67</v>
      </c>
      <c r="B7" s="77" t="str">
        <f>VLOOKUP($A7,Owner_Master!$A:$B,2,FALSE)</f>
        <v>S. Shanthi</v>
      </c>
      <c r="C7" s="78">
        <f>SUMIFS(Transaction_Log!$C:$C, Transaction_Log!$B:$B, $A7, Transaction_Log!$A:$A, "&gt;="&amp;DATE(2026,1,1), Transaction_Log!$A:$A, "&lt;="&amp;DATE(2026,1,31))</f>
        <v>0</v>
      </c>
      <c r="D7" s="78">
        <f>SUMIFS(Transaction_Log!$C:$C, Transaction_Log!$B:$B, $A7, Transaction_Log!$A:$A, "&gt;="&amp;DATE(2026,2,1), Transaction_Log!$A:$A, "&lt;="&amp;DATE(2026,2,28))</f>
        <v>0</v>
      </c>
      <c r="E7" s="78">
        <f>SUMIFS(Transaction_Log!$C:$C, Transaction_Log!$B:$B, $A7, Transaction_Log!$A:$A, "&gt;="&amp;DATE(2026,3,1), Transaction_Log!$A:$A, "&lt;="&amp;DATE(2026,3,31))</f>
        <v>0</v>
      </c>
      <c r="F7" s="78">
        <f>SUMIFS(Transaction_Log!$C:$C, Transaction_Log!$B:$B, $A7, Transaction_Log!$A:$A, "&gt;="&amp;DATE(2026,4,1), Transaction_Log!$A:$A, "&lt;="&amp;DATE(2026,4,30))</f>
        <v>0</v>
      </c>
      <c r="G7" s="78">
        <f>SUMIFS(Transaction_Log!$C:$C, Transaction_Log!$B:$B, $A7, Transaction_Log!$A:$A, "&gt;="&amp;DATE(2026,5,1), Transaction_Log!$A:$A, "&lt;="&amp;DATE(2026,5,31))</f>
        <v>0</v>
      </c>
      <c r="H7" s="96">
        <f>SUMIFS(Transaction_Log!$C:$C, Transaction_Log!$B:$B, $A7, Transaction_Log!$A:$A, "&gt;="&amp;DATE(2026,6,1), Transaction_Log!$A:$A, "&lt;="&amp;DATE(2026,6,30))</f>
        <v>0</v>
      </c>
      <c r="I7" s="96">
        <f>SUMIFS(Transaction_Log!$C:$C, Transaction_Log!$B:$B, $A7, Transaction_Log!$A:$A, "&gt;="&amp;DATE(2026,7,1), Transaction_Log!$A:$A, "&lt;="&amp;DATE(2026,7,31))</f>
        <v>0</v>
      </c>
      <c r="J7" s="96">
        <f>SUMIFS(Transaction_Log!$C:$C, Transaction_Log!$B:$B, $A7, Transaction_Log!$A:$A, "&gt;="&amp;DATE(2026,8,1), Transaction_Log!$A:$A, "&lt;="&amp;DATE(2026,8,31))</f>
        <v>0</v>
      </c>
      <c r="K7" s="96">
        <f>SUMIFS(Transaction_Log!$C:$C, Transaction_Log!$B:$B, $A7, Transaction_Log!$A:$A, "&gt;="&amp;DATE(2026,9,1), Transaction_Log!$A:$A, "&lt;="&amp;DATE(2026,9,30))</f>
        <v>0</v>
      </c>
      <c r="L7" s="96">
        <f>SUMIFS(Transaction_Log!$C:$C, Transaction_Log!$B:$B, $A7, Transaction_Log!$A:$A, "&gt;="&amp;DATE(2026,10,1), Transaction_Log!$A:$A, "&lt;="&amp;DATE(2026,10,31))</f>
        <v>0</v>
      </c>
      <c r="M7" s="96">
        <f>SUMIFS(Transaction_Log!$C:$C, Transaction_Log!$B:$B, $A7, Transaction_Log!$A:$A, "&gt;="&amp;DATE(2026,11,1), Transaction_Log!$A:$A, "&lt;="&amp;DATE(2026,11,30))</f>
        <v>0</v>
      </c>
      <c r="N7" s="96">
        <f>SUMIFS(Transaction_Log!$C:$C, Transaction_Log!$B:$B, $A7, Transaction_Log!$A:$A, "&gt;="&amp;DATE(2026,12,1), Transaction_Log!$A:$A, "&lt;="&amp;DATE(2026,12,31))</f>
        <v>0</v>
      </c>
      <c r="O7" s="102">
        <f t="shared" si="0"/>
        <v>0</v>
      </c>
      <c r="P7" s="99">
        <f>+DashBoard!D6</f>
        <v>22500</v>
      </c>
    </row>
    <row r="8" spans="1:16" ht="15.75" customHeight="1" x14ac:dyDescent="0.2">
      <c r="A8" s="79" t="s">
        <v>5</v>
      </c>
      <c r="B8" s="106" t="s">
        <v>126</v>
      </c>
      <c r="C8" s="78">
        <f>SUMIFS(Transaction_Log!$C:$C, Transaction_Log!$B:$B, $A8, Transaction_Log!$A:$A, "&gt;="&amp;DATE(2026,1,1), Transaction_Log!$A:$A, "&lt;="&amp;DATE(2026,1,31))</f>
        <v>1500</v>
      </c>
      <c r="D8" s="78">
        <f>SUMIFS(Transaction_Log!$C:$C, Transaction_Log!$B:$B, $A8, Transaction_Log!$A:$A, "&gt;="&amp;DATE(2026,2,1), Transaction_Log!$A:$A, "&lt;="&amp;DATE(2026,2,28))</f>
        <v>1500</v>
      </c>
      <c r="E8" s="78">
        <f>SUMIFS(Transaction_Log!$C:$C, Transaction_Log!$B:$B, $A8, Transaction_Log!$A:$A, "&gt;="&amp;DATE(2026,3,1), Transaction_Log!$A:$A, "&lt;="&amp;DATE(2026,3,31))</f>
        <v>0</v>
      </c>
      <c r="F8" s="78">
        <f>SUMIFS(Transaction_Log!$C:$C, Transaction_Log!$B:$B, $A8, Transaction_Log!$A:$A, "&gt;="&amp;DATE(2026,4,1), Transaction_Log!$A:$A, "&lt;="&amp;DATE(2026,4,30))</f>
        <v>0</v>
      </c>
      <c r="G8" s="78">
        <f>SUMIFS(Transaction_Log!$C:$C, Transaction_Log!$B:$B, $A8, Transaction_Log!$A:$A, "&gt;="&amp;DATE(2026,5,1), Transaction_Log!$A:$A, "&lt;="&amp;DATE(2026,5,31))</f>
        <v>0</v>
      </c>
      <c r="H8" s="96">
        <f>SUMIFS(Transaction_Log!$C:$C, Transaction_Log!$B:$B, $A8, Transaction_Log!$A:$A, "&gt;="&amp;DATE(2026,6,1), Transaction_Log!$A:$A, "&lt;="&amp;DATE(2026,6,30))</f>
        <v>0</v>
      </c>
      <c r="I8" s="96">
        <f>SUMIFS(Transaction_Log!$C:$C, Transaction_Log!$B:$B, $A8, Transaction_Log!$A:$A, "&gt;="&amp;DATE(2026,7,1), Transaction_Log!$A:$A, "&lt;="&amp;DATE(2026,7,31))</f>
        <v>0</v>
      </c>
      <c r="J8" s="96">
        <f>SUMIFS(Transaction_Log!$C:$C, Transaction_Log!$B:$B, $A8, Transaction_Log!$A:$A, "&gt;="&amp;DATE(2026,8,1), Transaction_Log!$A:$A, "&lt;="&amp;DATE(2026,8,31))</f>
        <v>0</v>
      </c>
      <c r="K8" s="96">
        <f>SUMIFS(Transaction_Log!$C:$C, Transaction_Log!$B:$B, $A8, Transaction_Log!$A:$A, "&gt;="&amp;DATE(2026,9,1), Transaction_Log!$A:$A, "&lt;="&amp;DATE(2026,9,30))</f>
        <v>0</v>
      </c>
      <c r="L8" s="96">
        <f>SUMIFS(Transaction_Log!$C:$C, Transaction_Log!$B:$B, $A8, Transaction_Log!$A:$A, "&gt;="&amp;DATE(2026,10,1), Transaction_Log!$A:$A, "&lt;="&amp;DATE(2026,10,31))</f>
        <v>0</v>
      </c>
      <c r="M8" s="96">
        <f>SUMIFS(Transaction_Log!$C:$C, Transaction_Log!$B:$B, $A8, Transaction_Log!$A:$A, "&gt;="&amp;DATE(2026,11,1), Transaction_Log!$A:$A, "&lt;="&amp;DATE(2026,11,30))</f>
        <v>0</v>
      </c>
      <c r="N8" s="96">
        <f>SUMIFS(Transaction_Log!$C:$C, Transaction_Log!$B:$B, $A8, Transaction_Log!$A:$A, "&gt;="&amp;DATE(2026,12,1), Transaction_Log!$A:$A, "&lt;="&amp;DATE(2026,12,31))</f>
        <v>0</v>
      </c>
      <c r="O8" s="102">
        <f t="shared" si="0"/>
        <v>3000</v>
      </c>
      <c r="P8" s="99">
        <f>+DashBoard!D7</f>
        <v>4500</v>
      </c>
    </row>
    <row r="9" spans="1:16" ht="15.75" customHeight="1" x14ac:dyDescent="0.2">
      <c r="A9" s="79" t="s">
        <v>73</v>
      </c>
      <c r="B9" s="77" t="str">
        <f>VLOOKUP($A9,Owner_Master!$A:$B,2,FALSE)</f>
        <v xml:space="preserve">Dr. P.S. Balamurugavel </v>
      </c>
      <c r="C9" s="78">
        <f>SUMIFS(Transaction_Log!$C:$C, Transaction_Log!$B:$B, $A9, Transaction_Log!$A:$A, "&gt;="&amp;DATE(2026,1,1), Transaction_Log!$A:$A, "&lt;="&amp;DATE(2026,1,31))</f>
        <v>0</v>
      </c>
      <c r="D9" s="78">
        <f>SUMIFS(Transaction_Log!$C:$C, Transaction_Log!$B:$B, $A9, Transaction_Log!$A:$A, "&gt;="&amp;DATE(2026,2,1), Transaction_Log!$A:$A, "&lt;="&amp;DATE(2026,2,28))</f>
        <v>0</v>
      </c>
      <c r="E9" s="78">
        <f>SUMIFS(Transaction_Log!$C:$C, Transaction_Log!$B:$B, $A9, Transaction_Log!$A:$A, "&gt;="&amp;DATE(2026,3,1), Transaction_Log!$A:$A, "&lt;="&amp;DATE(2026,3,31))</f>
        <v>13500</v>
      </c>
      <c r="F9" s="78">
        <f>SUMIFS(Transaction_Log!$C:$C, Transaction_Log!$B:$B, $A9, Transaction_Log!$A:$A, "&gt;="&amp;DATE(2026,4,1), Transaction_Log!$A:$A, "&lt;="&amp;DATE(2026,4,30))</f>
        <v>3000</v>
      </c>
      <c r="G9" s="78">
        <f>SUMIFS(Transaction_Log!$C:$C, Transaction_Log!$B:$B, $A9, Transaction_Log!$A:$A, "&gt;="&amp;DATE(2026,5,1), Transaction_Log!$A:$A, "&lt;="&amp;DATE(2026,5,31))</f>
        <v>1500</v>
      </c>
      <c r="H9" s="96">
        <f>SUMIFS(Transaction_Log!$C:$C, Transaction_Log!$B:$B, $A9, Transaction_Log!$A:$A, "&gt;="&amp;DATE(2026,6,1), Transaction_Log!$A:$A, "&lt;="&amp;DATE(2026,6,30))</f>
        <v>0</v>
      </c>
      <c r="I9" s="96">
        <f>SUMIFS(Transaction_Log!$C:$C, Transaction_Log!$B:$B, $A9, Transaction_Log!$A:$A, "&gt;="&amp;DATE(2026,7,1), Transaction_Log!$A:$A, "&lt;="&amp;DATE(2026,7,31))</f>
        <v>0</v>
      </c>
      <c r="J9" s="96">
        <f>SUMIFS(Transaction_Log!$C:$C, Transaction_Log!$B:$B, $A9, Transaction_Log!$A:$A, "&gt;="&amp;DATE(2026,8,1), Transaction_Log!$A:$A, "&lt;="&amp;DATE(2026,8,31))</f>
        <v>0</v>
      </c>
      <c r="K9" s="96">
        <f>SUMIFS(Transaction_Log!$C:$C, Transaction_Log!$B:$B, $A9, Transaction_Log!$A:$A, "&gt;="&amp;DATE(2026,9,1), Transaction_Log!$A:$A, "&lt;="&amp;DATE(2026,9,30))</f>
        <v>0</v>
      </c>
      <c r="L9" s="96">
        <f>SUMIFS(Transaction_Log!$C:$C, Transaction_Log!$B:$B, $A9, Transaction_Log!$A:$A, "&gt;="&amp;DATE(2026,10,1), Transaction_Log!$A:$A, "&lt;="&amp;DATE(2026,10,31))</f>
        <v>0</v>
      </c>
      <c r="M9" s="96">
        <f>SUMIFS(Transaction_Log!$C:$C, Transaction_Log!$B:$B, $A9, Transaction_Log!$A:$A, "&gt;="&amp;DATE(2026,11,1), Transaction_Log!$A:$A, "&lt;="&amp;DATE(2026,11,30))</f>
        <v>0</v>
      </c>
      <c r="N9" s="96">
        <f>SUMIFS(Transaction_Log!$C:$C, Transaction_Log!$B:$B, $A9, Transaction_Log!$A:$A, "&gt;="&amp;DATE(2026,12,1), Transaction_Log!$A:$A, "&lt;="&amp;DATE(2026,12,31))</f>
        <v>0</v>
      </c>
      <c r="O9" s="102">
        <f t="shared" si="0"/>
        <v>18000</v>
      </c>
      <c r="P9" s="99">
        <f>+DashBoard!D8</f>
        <v>6000</v>
      </c>
    </row>
    <row r="10" spans="1:16" ht="15.75" customHeight="1" x14ac:dyDescent="0.2">
      <c r="A10" s="79" t="s">
        <v>102</v>
      </c>
      <c r="B10" s="77" t="str">
        <f>VLOOKUP($A10,Owner_Master!$A:$B,2,FALSE)</f>
        <v xml:space="preserve">Dr G.K.Kiran Adithya </v>
      </c>
      <c r="C10" s="78">
        <f>SUMIFS(Transaction_Log!$C:$C, Transaction_Log!$B:$B, $A10, Transaction_Log!$A:$A, "&gt;="&amp;DATE(2026,1,1), Transaction_Log!$A:$A, "&lt;="&amp;DATE(2026,1,31))</f>
        <v>0</v>
      </c>
      <c r="D10" s="78">
        <f>SUMIFS(Transaction_Log!$C:$C, Transaction_Log!$B:$B, $A10, Transaction_Log!$A:$A, "&gt;="&amp;DATE(2026,2,1), Transaction_Log!$A:$A, "&lt;="&amp;DATE(2026,2,28))</f>
        <v>3000</v>
      </c>
      <c r="E10" s="78">
        <f>SUMIFS(Transaction_Log!$C:$C, Transaction_Log!$B:$B, $A10, Transaction_Log!$A:$A, "&gt;="&amp;DATE(2026,3,1), Transaction_Log!$A:$A, "&lt;="&amp;DATE(2026,3,31))</f>
        <v>0</v>
      </c>
      <c r="F10" s="78">
        <f>SUMIFS(Transaction_Log!$C:$C, Transaction_Log!$B:$B, $A10, Transaction_Log!$A:$A, "&gt;="&amp;DATE(2026,4,1), Transaction_Log!$A:$A, "&lt;="&amp;DATE(2026,4,30))</f>
        <v>3000</v>
      </c>
      <c r="G10" s="78">
        <f>SUMIFS(Transaction_Log!$C:$C, Transaction_Log!$B:$B, $A10, Transaction_Log!$A:$A, "&gt;="&amp;DATE(2026,5,1), Transaction_Log!$A:$A, "&lt;="&amp;DATE(2026,5,31))</f>
        <v>0</v>
      </c>
      <c r="H10" s="96">
        <f>SUMIFS(Transaction_Log!$C:$C, Transaction_Log!$B:$B, $A10, Transaction_Log!$A:$A, "&gt;="&amp;DATE(2026,6,1), Transaction_Log!$A:$A, "&lt;="&amp;DATE(2026,6,30))</f>
        <v>0</v>
      </c>
      <c r="I10" s="96">
        <f>SUMIFS(Transaction_Log!$C:$C, Transaction_Log!$B:$B, $A10, Transaction_Log!$A:$A, "&gt;="&amp;DATE(2026,7,1), Transaction_Log!$A:$A, "&lt;="&amp;DATE(2026,7,31))</f>
        <v>0</v>
      </c>
      <c r="J10" s="96">
        <f>SUMIFS(Transaction_Log!$C:$C, Transaction_Log!$B:$B, $A10, Transaction_Log!$A:$A, "&gt;="&amp;DATE(2026,8,1), Transaction_Log!$A:$A, "&lt;="&amp;DATE(2026,8,31))</f>
        <v>0</v>
      </c>
      <c r="K10" s="96">
        <f>SUMIFS(Transaction_Log!$C:$C, Transaction_Log!$B:$B, $A10, Transaction_Log!$A:$A, "&gt;="&amp;DATE(2026,9,1), Transaction_Log!$A:$A, "&lt;="&amp;DATE(2026,9,30))</f>
        <v>0</v>
      </c>
      <c r="L10" s="96">
        <f>SUMIFS(Transaction_Log!$C:$C, Transaction_Log!$B:$B, $A10, Transaction_Log!$A:$A, "&gt;="&amp;DATE(2026,10,1), Transaction_Log!$A:$A, "&lt;="&amp;DATE(2026,10,31))</f>
        <v>0</v>
      </c>
      <c r="M10" s="96">
        <f>SUMIFS(Transaction_Log!$C:$C, Transaction_Log!$B:$B, $A10, Transaction_Log!$A:$A, "&gt;="&amp;DATE(2026,11,1), Transaction_Log!$A:$A, "&lt;="&amp;DATE(2026,11,30))</f>
        <v>0</v>
      </c>
      <c r="N10" s="96">
        <f>SUMIFS(Transaction_Log!$C:$C, Transaction_Log!$B:$B, $A10, Transaction_Log!$A:$A, "&gt;="&amp;DATE(2026,12,1), Transaction_Log!$A:$A, "&lt;="&amp;DATE(2026,12,31))</f>
        <v>0</v>
      </c>
      <c r="O10" s="102">
        <f t="shared" si="0"/>
        <v>6000</v>
      </c>
      <c r="P10" s="99">
        <f>+DashBoard!D9</f>
        <v>0</v>
      </c>
    </row>
    <row r="11" spans="1:16" ht="15.75" customHeight="1" x14ac:dyDescent="0.2">
      <c r="A11" s="79" t="s">
        <v>7</v>
      </c>
      <c r="B11" s="77" t="str">
        <f>VLOOKUP($A11,Owner_Master!$A:$B,2,FALSE)</f>
        <v>R.Chetan Kumar</v>
      </c>
      <c r="C11" s="78">
        <f>SUMIFS(Transaction_Log!$C:$C, Transaction_Log!$B:$B, $A11, Transaction_Log!$A:$A, "&gt;="&amp;DATE(2026,1,1), Transaction_Log!$A:$A, "&lt;="&amp;DATE(2026,1,31))</f>
        <v>1500</v>
      </c>
      <c r="D11" s="78">
        <f>SUMIFS(Transaction_Log!$C:$C, Transaction_Log!$B:$B, $A11, Transaction_Log!$A:$A, "&gt;="&amp;DATE(2026,2,1), Transaction_Log!$A:$A, "&lt;="&amp;DATE(2026,2,28))</f>
        <v>1500</v>
      </c>
      <c r="E11" s="78">
        <f>SUMIFS(Transaction_Log!$C:$C, Transaction_Log!$B:$B, $A11, Transaction_Log!$A:$A, "&gt;="&amp;DATE(2026,3,1), Transaction_Log!$A:$A, "&lt;="&amp;DATE(2026,3,31))</f>
        <v>1500</v>
      </c>
      <c r="F11" s="78">
        <f>SUMIFS(Transaction_Log!$C:$C, Transaction_Log!$B:$B, $A11, Transaction_Log!$A:$A, "&gt;="&amp;DATE(2026,4,1), Transaction_Log!$A:$A, "&lt;="&amp;DATE(2026,4,30))</f>
        <v>1500</v>
      </c>
      <c r="G11" s="78">
        <f>SUMIFS(Transaction_Log!$C:$C, Transaction_Log!$B:$B, $A11, Transaction_Log!$A:$A, "&gt;="&amp;DATE(2026,5,1), Transaction_Log!$A:$A, "&lt;="&amp;DATE(2026,5,31))</f>
        <v>1500</v>
      </c>
      <c r="H11" s="96">
        <f>SUMIFS(Transaction_Log!$C:$C, Transaction_Log!$B:$B, $A11, Transaction_Log!$A:$A, "&gt;="&amp;DATE(2026,6,1), Transaction_Log!$A:$A, "&lt;="&amp;DATE(2026,6,30))</f>
        <v>0</v>
      </c>
      <c r="I11" s="96">
        <f>SUMIFS(Transaction_Log!$C:$C, Transaction_Log!$B:$B, $A11, Transaction_Log!$A:$A, "&gt;="&amp;DATE(2026,7,1), Transaction_Log!$A:$A, "&lt;="&amp;DATE(2026,7,31))</f>
        <v>0</v>
      </c>
      <c r="J11" s="96">
        <f>SUMIFS(Transaction_Log!$C:$C, Transaction_Log!$B:$B, $A11, Transaction_Log!$A:$A, "&gt;="&amp;DATE(2026,8,1), Transaction_Log!$A:$A, "&lt;="&amp;DATE(2026,8,31))</f>
        <v>0</v>
      </c>
      <c r="K11" s="96">
        <f>SUMIFS(Transaction_Log!$C:$C, Transaction_Log!$B:$B, $A11, Transaction_Log!$A:$A, "&gt;="&amp;DATE(2026,9,1), Transaction_Log!$A:$A, "&lt;="&amp;DATE(2026,9,30))</f>
        <v>0</v>
      </c>
      <c r="L11" s="96">
        <f>SUMIFS(Transaction_Log!$C:$C, Transaction_Log!$B:$B, $A11, Transaction_Log!$A:$A, "&gt;="&amp;DATE(2026,10,1), Transaction_Log!$A:$A, "&lt;="&amp;DATE(2026,10,31))</f>
        <v>0</v>
      </c>
      <c r="M11" s="96">
        <f>SUMIFS(Transaction_Log!$C:$C, Transaction_Log!$B:$B, $A11, Transaction_Log!$A:$A, "&gt;="&amp;DATE(2026,11,1), Transaction_Log!$A:$A, "&lt;="&amp;DATE(2026,11,30))</f>
        <v>0</v>
      </c>
      <c r="N11" s="96">
        <f>SUMIFS(Transaction_Log!$C:$C, Transaction_Log!$B:$B, $A11, Transaction_Log!$A:$A, "&gt;="&amp;DATE(2026,12,1), Transaction_Log!$A:$A, "&lt;="&amp;DATE(2026,12,31))</f>
        <v>0</v>
      </c>
      <c r="O11" s="102">
        <f t="shared" si="0"/>
        <v>7500</v>
      </c>
      <c r="P11" s="99">
        <f>+DashBoard!D10</f>
        <v>0</v>
      </c>
    </row>
    <row r="12" spans="1:16" ht="15.75" customHeight="1" x14ac:dyDescent="0.2">
      <c r="A12" s="79" t="s">
        <v>87</v>
      </c>
      <c r="B12" s="77" t="str">
        <f>VLOOKUP($A12,Owner_Master!$A:$B,2,FALSE)</f>
        <v>K.Eswari</v>
      </c>
      <c r="C12" s="78">
        <f>SUMIFS(Transaction_Log!$C:$C, Transaction_Log!$B:$B, $A12, Transaction_Log!$A:$A, "&gt;="&amp;DATE(2026,1,1), Transaction_Log!$A:$A, "&lt;="&amp;DATE(2026,1,31))</f>
        <v>0</v>
      </c>
      <c r="D12" s="78">
        <f>SUMIFS(Transaction_Log!$C:$C, Transaction_Log!$B:$B, $A12, Transaction_Log!$A:$A, "&gt;="&amp;DATE(2026,2,1), Transaction_Log!$A:$A, "&lt;="&amp;DATE(2026,2,28))</f>
        <v>0</v>
      </c>
      <c r="E12" s="78">
        <f>SUMIFS(Transaction_Log!$C:$C, Transaction_Log!$B:$B, $A12, Transaction_Log!$A:$A, "&gt;="&amp;DATE(2026,3,1), Transaction_Log!$A:$A, "&lt;="&amp;DATE(2026,3,31))</f>
        <v>0</v>
      </c>
      <c r="F12" s="78">
        <f>SUMIFS(Transaction_Log!$C:$C, Transaction_Log!$B:$B, $A12, Transaction_Log!$A:$A, "&gt;="&amp;DATE(2026,4,1), Transaction_Log!$A:$A, "&lt;="&amp;DATE(2026,4,30))</f>
        <v>0</v>
      </c>
      <c r="G12" s="78">
        <f>SUMIFS(Transaction_Log!$C:$C, Transaction_Log!$B:$B, $A12, Transaction_Log!$A:$A, "&gt;="&amp;DATE(2026,5,1), Transaction_Log!$A:$A, "&lt;="&amp;DATE(2026,5,31))</f>
        <v>31000</v>
      </c>
      <c r="H12" s="96">
        <f>SUMIFS(Transaction_Log!$C:$C, Transaction_Log!$B:$B, $A12, Transaction_Log!$A:$A, "&gt;="&amp;DATE(2026,6,1), Transaction_Log!$A:$A, "&lt;="&amp;DATE(2026,6,30))</f>
        <v>0</v>
      </c>
      <c r="I12" s="96">
        <f>SUMIFS(Transaction_Log!$C:$C, Transaction_Log!$B:$B, $A12, Transaction_Log!$A:$A, "&gt;="&amp;DATE(2026,7,1), Transaction_Log!$A:$A, "&lt;="&amp;DATE(2026,7,31))</f>
        <v>0</v>
      </c>
      <c r="J12" s="96">
        <f>SUMIFS(Transaction_Log!$C:$C, Transaction_Log!$B:$B, $A12, Transaction_Log!$A:$A, "&gt;="&amp;DATE(2026,8,1), Transaction_Log!$A:$A, "&lt;="&amp;DATE(2026,8,31))</f>
        <v>0</v>
      </c>
      <c r="K12" s="96">
        <f>SUMIFS(Transaction_Log!$C:$C, Transaction_Log!$B:$B, $A12, Transaction_Log!$A:$A, "&gt;="&amp;DATE(2026,9,1), Transaction_Log!$A:$A, "&lt;="&amp;DATE(2026,9,30))</f>
        <v>0</v>
      </c>
      <c r="L12" s="96">
        <f>SUMIFS(Transaction_Log!$C:$C, Transaction_Log!$B:$B, $A12, Transaction_Log!$A:$A, "&gt;="&amp;DATE(2026,10,1), Transaction_Log!$A:$A, "&lt;="&amp;DATE(2026,10,31))</f>
        <v>0</v>
      </c>
      <c r="M12" s="96">
        <f>SUMIFS(Transaction_Log!$C:$C, Transaction_Log!$B:$B, $A12, Transaction_Log!$A:$A, "&gt;="&amp;DATE(2026,11,1), Transaction_Log!$A:$A, "&lt;="&amp;DATE(2026,11,30))</f>
        <v>0</v>
      </c>
      <c r="N12" s="96">
        <f>SUMIFS(Transaction_Log!$C:$C, Transaction_Log!$B:$B, $A12, Transaction_Log!$A:$A, "&gt;="&amp;DATE(2026,12,1), Transaction_Log!$A:$A, "&lt;="&amp;DATE(2026,12,31))</f>
        <v>0</v>
      </c>
      <c r="O12" s="102">
        <f t="shared" si="0"/>
        <v>31000</v>
      </c>
      <c r="P12" s="99">
        <f>+DashBoard!D11</f>
        <v>8000</v>
      </c>
    </row>
    <row r="13" spans="1:16" ht="15.75" customHeight="1" x14ac:dyDescent="0.2">
      <c r="A13" s="79" t="s">
        <v>33</v>
      </c>
      <c r="B13" s="77" t="str">
        <f>VLOOKUP($A13,Owner_Master!$A:$B,2,FALSE)</f>
        <v>Selvendran Ayyaswamy</v>
      </c>
      <c r="C13" s="78">
        <f>SUMIFS(Transaction_Log!$C:$C, Transaction_Log!$B:$B, $A13, Transaction_Log!$A:$A, "&gt;="&amp;DATE(2026,1,1), Transaction_Log!$A:$A, "&lt;="&amp;DATE(2026,1,31))</f>
        <v>3000</v>
      </c>
      <c r="D13" s="78">
        <f>SUMIFS(Transaction_Log!$C:$C, Transaction_Log!$B:$B, $A13, Transaction_Log!$A:$A, "&gt;="&amp;DATE(2026,2,1), Transaction_Log!$A:$A, "&lt;="&amp;DATE(2026,2,28))</f>
        <v>3000</v>
      </c>
      <c r="E13" s="78">
        <f>SUMIFS(Transaction_Log!$C:$C, Transaction_Log!$B:$B, $A13, Transaction_Log!$A:$A, "&gt;="&amp;DATE(2026,3,1), Transaction_Log!$A:$A, "&lt;="&amp;DATE(2026,3,31))</f>
        <v>0</v>
      </c>
      <c r="F13" s="78">
        <f>SUMIFS(Transaction_Log!$C:$C, Transaction_Log!$B:$B, $A13, Transaction_Log!$A:$A, "&gt;="&amp;DATE(2026,4,1), Transaction_Log!$A:$A, "&lt;="&amp;DATE(2026,4,30))</f>
        <v>3000</v>
      </c>
      <c r="G13" s="78">
        <f>SUMIFS(Transaction_Log!$C:$C, Transaction_Log!$B:$B, $A13, Transaction_Log!$A:$A, "&gt;="&amp;DATE(2026,5,1), Transaction_Log!$A:$A, "&lt;="&amp;DATE(2026,5,31))</f>
        <v>0</v>
      </c>
      <c r="H13" s="96">
        <f>SUMIFS(Transaction_Log!$C:$C, Transaction_Log!$B:$B, $A13, Transaction_Log!$A:$A, "&gt;="&amp;DATE(2026,6,1), Transaction_Log!$A:$A, "&lt;="&amp;DATE(2026,6,30))</f>
        <v>0</v>
      </c>
      <c r="I13" s="96">
        <f>SUMIFS(Transaction_Log!$C:$C, Transaction_Log!$B:$B, $A13, Transaction_Log!$A:$A, "&gt;="&amp;DATE(2026,7,1), Transaction_Log!$A:$A, "&lt;="&amp;DATE(2026,7,31))</f>
        <v>0</v>
      </c>
      <c r="J13" s="96">
        <f>SUMIFS(Transaction_Log!$C:$C, Transaction_Log!$B:$B, $A13, Transaction_Log!$A:$A, "&gt;="&amp;DATE(2026,8,1), Transaction_Log!$A:$A, "&lt;="&amp;DATE(2026,8,31))</f>
        <v>0</v>
      </c>
      <c r="K13" s="96">
        <f>SUMIFS(Transaction_Log!$C:$C, Transaction_Log!$B:$B, $A13, Transaction_Log!$A:$A, "&gt;="&amp;DATE(2026,9,1), Transaction_Log!$A:$A, "&lt;="&amp;DATE(2026,9,30))</f>
        <v>0</v>
      </c>
      <c r="L13" s="96">
        <f>SUMIFS(Transaction_Log!$C:$C, Transaction_Log!$B:$B, $A13, Transaction_Log!$A:$A, "&gt;="&amp;DATE(2026,10,1), Transaction_Log!$A:$A, "&lt;="&amp;DATE(2026,10,31))</f>
        <v>0</v>
      </c>
      <c r="M13" s="96">
        <f>SUMIFS(Transaction_Log!$C:$C, Transaction_Log!$B:$B, $A13, Transaction_Log!$A:$A, "&gt;="&amp;DATE(2026,11,1), Transaction_Log!$A:$A, "&lt;="&amp;DATE(2026,11,30))</f>
        <v>0</v>
      </c>
      <c r="N13" s="96">
        <f>SUMIFS(Transaction_Log!$C:$C, Transaction_Log!$B:$B, $A13, Transaction_Log!$A:$A, "&gt;="&amp;DATE(2026,12,1), Transaction_Log!$A:$A, "&lt;="&amp;DATE(2026,12,31))</f>
        <v>0</v>
      </c>
      <c r="O13" s="102">
        <f t="shared" si="0"/>
        <v>9000</v>
      </c>
      <c r="P13" s="99">
        <f>+DashBoard!D12</f>
        <v>0</v>
      </c>
    </row>
    <row r="14" spans="1:16" ht="15.75" customHeight="1" x14ac:dyDescent="0.2">
      <c r="A14" s="79" t="s">
        <v>9</v>
      </c>
      <c r="B14" s="77" t="str">
        <f>VLOOKUP($A14,Owner_Master!$A:$B,2,FALSE)</f>
        <v>Latish Babu</v>
      </c>
      <c r="C14" s="78">
        <f>SUMIFS(Transaction_Log!$C:$C, Transaction_Log!$B:$B, $A14, Transaction_Log!$A:$A, "&gt;="&amp;DATE(2026,1,1), Transaction_Log!$A:$A, "&lt;="&amp;DATE(2026,1,31))</f>
        <v>1500</v>
      </c>
      <c r="D14" s="78">
        <f>SUMIFS(Transaction_Log!$C:$C, Transaction_Log!$B:$B, $A14, Transaction_Log!$A:$A, "&gt;="&amp;DATE(2026,2,1), Transaction_Log!$A:$A, "&lt;="&amp;DATE(2026,2,28))</f>
        <v>1500</v>
      </c>
      <c r="E14" s="78">
        <f>SUMIFS(Transaction_Log!$C:$C, Transaction_Log!$B:$B, $A14, Transaction_Log!$A:$A, "&gt;="&amp;DATE(2026,3,1), Transaction_Log!$A:$A, "&lt;="&amp;DATE(2026,3,31))</f>
        <v>0</v>
      </c>
      <c r="F14" s="78">
        <f>SUMIFS(Transaction_Log!$C:$C, Transaction_Log!$B:$B, $A14, Transaction_Log!$A:$A, "&gt;="&amp;DATE(2026,4,1), Transaction_Log!$A:$A, "&lt;="&amp;DATE(2026,4,30))</f>
        <v>1500</v>
      </c>
      <c r="G14" s="78">
        <f>SUMIFS(Transaction_Log!$C:$C, Transaction_Log!$B:$B, $A14, Transaction_Log!$A:$A, "&gt;="&amp;DATE(2026,5,1), Transaction_Log!$A:$A, "&lt;="&amp;DATE(2026,5,31))</f>
        <v>1500</v>
      </c>
      <c r="H14" s="96">
        <f>SUMIFS(Transaction_Log!$C:$C, Transaction_Log!$B:$B, $A14, Transaction_Log!$A:$A, "&gt;="&amp;DATE(2026,6,1), Transaction_Log!$A:$A, "&lt;="&amp;DATE(2026,6,30))</f>
        <v>0</v>
      </c>
      <c r="I14" s="96">
        <f>SUMIFS(Transaction_Log!$C:$C, Transaction_Log!$B:$B, $A14, Transaction_Log!$A:$A, "&gt;="&amp;DATE(2026,7,1), Transaction_Log!$A:$A, "&lt;="&amp;DATE(2026,7,31))</f>
        <v>0</v>
      </c>
      <c r="J14" s="96">
        <f>SUMIFS(Transaction_Log!$C:$C, Transaction_Log!$B:$B, $A14, Transaction_Log!$A:$A, "&gt;="&amp;DATE(2026,8,1), Transaction_Log!$A:$A, "&lt;="&amp;DATE(2026,8,31))</f>
        <v>0</v>
      </c>
      <c r="K14" s="96">
        <f>SUMIFS(Transaction_Log!$C:$C, Transaction_Log!$B:$B, $A14, Transaction_Log!$A:$A, "&gt;="&amp;DATE(2026,9,1), Transaction_Log!$A:$A, "&lt;="&amp;DATE(2026,9,30))</f>
        <v>0</v>
      </c>
      <c r="L14" s="96">
        <f>SUMIFS(Transaction_Log!$C:$C, Transaction_Log!$B:$B, $A14, Transaction_Log!$A:$A, "&gt;="&amp;DATE(2026,10,1), Transaction_Log!$A:$A, "&lt;="&amp;DATE(2026,10,31))</f>
        <v>0</v>
      </c>
      <c r="M14" s="96">
        <f>SUMIFS(Transaction_Log!$C:$C, Transaction_Log!$B:$B, $A14, Transaction_Log!$A:$A, "&gt;="&amp;DATE(2026,11,1), Transaction_Log!$A:$A, "&lt;="&amp;DATE(2026,11,30))</f>
        <v>0</v>
      </c>
      <c r="N14" s="96">
        <f>SUMIFS(Transaction_Log!$C:$C, Transaction_Log!$B:$B, $A14, Transaction_Log!$A:$A, "&gt;="&amp;DATE(2026,12,1), Transaction_Log!$A:$A, "&lt;="&amp;DATE(2026,12,31))</f>
        <v>0</v>
      </c>
      <c r="O14" s="102">
        <f t="shared" si="0"/>
        <v>6000</v>
      </c>
      <c r="P14" s="99">
        <f>+DashBoard!D13</f>
        <v>1500</v>
      </c>
    </row>
    <row r="15" spans="1:16" ht="15.75" customHeight="1" x14ac:dyDescent="0.2">
      <c r="A15" s="79" t="s">
        <v>65</v>
      </c>
      <c r="B15" s="77" t="str">
        <f>VLOOKUP($A15,Owner_Master!$A:$B,2,FALSE)</f>
        <v>S.Periasamy</v>
      </c>
      <c r="C15" s="78">
        <f>SUMIFS(Transaction_Log!$C:$C, Transaction_Log!$B:$B, $A15, Transaction_Log!$A:$A, "&gt;="&amp;DATE(2026,1,1), Transaction_Log!$A:$A, "&lt;="&amp;DATE(2026,1,31))</f>
        <v>0</v>
      </c>
      <c r="D15" s="78">
        <f>SUMIFS(Transaction_Log!$C:$C, Transaction_Log!$B:$B, $A15, Transaction_Log!$A:$A, "&gt;="&amp;DATE(2026,2,1), Transaction_Log!$A:$A, "&lt;="&amp;DATE(2026,2,28))</f>
        <v>15500</v>
      </c>
      <c r="E15" s="78">
        <f>SUMIFS(Transaction_Log!$C:$C, Transaction_Log!$B:$B, $A15, Transaction_Log!$A:$A, "&gt;="&amp;DATE(2026,3,1), Transaction_Log!$A:$A, "&lt;="&amp;DATE(2026,3,31))</f>
        <v>0</v>
      </c>
      <c r="F15" s="78">
        <f>SUMIFS(Transaction_Log!$C:$C, Transaction_Log!$B:$B, $A15, Transaction_Log!$A:$A, "&gt;="&amp;DATE(2026,4,1), Transaction_Log!$A:$A, "&lt;="&amp;DATE(2026,4,30))</f>
        <v>0</v>
      </c>
      <c r="G15" s="78">
        <f>SUMIFS(Transaction_Log!$C:$C, Transaction_Log!$B:$B, $A15, Transaction_Log!$A:$A, "&gt;="&amp;DATE(2026,5,1), Transaction_Log!$A:$A, "&lt;="&amp;DATE(2026,5,31))</f>
        <v>9000</v>
      </c>
      <c r="H15" s="96">
        <f>SUMIFS(Transaction_Log!$C:$C, Transaction_Log!$B:$B, $A15, Transaction_Log!$A:$A, "&gt;="&amp;DATE(2026,6,1), Transaction_Log!$A:$A, "&lt;="&amp;DATE(2026,6,30))</f>
        <v>0</v>
      </c>
      <c r="I15" s="96">
        <f>SUMIFS(Transaction_Log!$C:$C, Transaction_Log!$B:$B, $A15, Transaction_Log!$A:$A, "&gt;="&amp;DATE(2026,7,1), Transaction_Log!$A:$A, "&lt;="&amp;DATE(2026,7,31))</f>
        <v>0</v>
      </c>
      <c r="J15" s="96">
        <f>SUMIFS(Transaction_Log!$C:$C, Transaction_Log!$B:$B, $A15, Transaction_Log!$A:$A, "&gt;="&amp;DATE(2026,8,1), Transaction_Log!$A:$A, "&lt;="&amp;DATE(2026,8,31))</f>
        <v>0</v>
      </c>
      <c r="K15" s="96">
        <f>SUMIFS(Transaction_Log!$C:$C, Transaction_Log!$B:$B, $A15, Transaction_Log!$A:$A, "&gt;="&amp;DATE(2026,9,1), Transaction_Log!$A:$A, "&lt;="&amp;DATE(2026,9,30))</f>
        <v>0</v>
      </c>
      <c r="L15" s="96">
        <f>SUMIFS(Transaction_Log!$C:$C, Transaction_Log!$B:$B, $A15, Transaction_Log!$A:$A, "&gt;="&amp;DATE(2026,10,1), Transaction_Log!$A:$A, "&lt;="&amp;DATE(2026,10,31))</f>
        <v>0</v>
      </c>
      <c r="M15" s="96">
        <f>SUMIFS(Transaction_Log!$C:$C, Transaction_Log!$B:$B, $A15, Transaction_Log!$A:$A, "&gt;="&amp;DATE(2026,11,1), Transaction_Log!$A:$A, "&lt;="&amp;DATE(2026,11,30))</f>
        <v>0</v>
      </c>
      <c r="N15" s="96">
        <f>SUMIFS(Transaction_Log!$C:$C, Transaction_Log!$B:$B, $A15, Transaction_Log!$A:$A, "&gt;="&amp;DATE(2026,12,1), Transaction_Log!$A:$A, "&lt;="&amp;DATE(2026,12,31))</f>
        <v>0</v>
      </c>
      <c r="O15" s="102">
        <f t="shared" si="0"/>
        <v>24500</v>
      </c>
      <c r="P15" s="99">
        <f>+DashBoard!D14</f>
        <v>-6000</v>
      </c>
    </row>
    <row r="16" spans="1:16" ht="15.75" customHeight="1" x14ac:dyDescent="0.2">
      <c r="A16" s="79" t="s">
        <v>69</v>
      </c>
      <c r="B16" s="77" t="str">
        <f>VLOOKUP($A16,Owner_Master!$A:$B,2,FALSE)</f>
        <v>Arunkarthick and Dr.Haripraba</v>
      </c>
      <c r="C16" s="78">
        <f>SUMIFS(Transaction_Log!$C:$C, Transaction_Log!$B:$B, $A16, Transaction_Log!$A:$A, "&gt;="&amp;DATE(2026,1,1), Transaction_Log!$A:$A, "&lt;="&amp;DATE(2026,1,31))</f>
        <v>0</v>
      </c>
      <c r="D16" s="78">
        <f>SUMIFS(Transaction_Log!$C:$C, Transaction_Log!$B:$B, $A16, Transaction_Log!$A:$A, "&gt;="&amp;DATE(2026,2,1), Transaction_Log!$A:$A, "&lt;="&amp;DATE(2026,2,28))</f>
        <v>0</v>
      </c>
      <c r="E16" s="78">
        <f>SUMIFS(Transaction_Log!$C:$C, Transaction_Log!$B:$B, $A16, Transaction_Log!$A:$A, "&gt;="&amp;DATE(2026,3,1), Transaction_Log!$A:$A, "&lt;="&amp;DATE(2026,3,31))</f>
        <v>19500</v>
      </c>
      <c r="F16" s="78">
        <f>SUMIFS(Transaction_Log!$C:$C, Transaction_Log!$B:$B, $A16, Transaction_Log!$A:$A, "&gt;="&amp;DATE(2026,4,1), Transaction_Log!$A:$A, "&lt;="&amp;DATE(2026,4,30))</f>
        <v>1500</v>
      </c>
      <c r="G16" s="78">
        <f>SUMIFS(Transaction_Log!$C:$C, Transaction_Log!$B:$B, $A16, Transaction_Log!$A:$A, "&gt;="&amp;DATE(2026,5,1), Transaction_Log!$A:$A, "&lt;="&amp;DATE(2026,5,31))</f>
        <v>1500</v>
      </c>
      <c r="H16" s="96">
        <f>SUMIFS(Transaction_Log!$C:$C, Transaction_Log!$B:$B, $A16, Transaction_Log!$A:$A, "&gt;="&amp;DATE(2026,6,1), Transaction_Log!$A:$A, "&lt;="&amp;DATE(2026,6,30))</f>
        <v>0</v>
      </c>
      <c r="I16" s="96">
        <f>SUMIFS(Transaction_Log!$C:$C, Transaction_Log!$B:$B, $A16, Transaction_Log!$A:$A, "&gt;="&amp;DATE(2026,7,1), Transaction_Log!$A:$A, "&lt;="&amp;DATE(2026,7,31))</f>
        <v>0</v>
      </c>
      <c r="J16" s="96">
        <f>SUMIFS(Transaction_Log!$C:$C, Transaction_Log!$B:$B, $A16, Transaction_Log!$A:$A, "&gt;="&amp;DATE(2026,8,1), Transaction_Log!$A:$A, "&lt;="&amp;DATE(2026,8,31))</f>
        <v>0</v>
      </c>
      <c r="K16" s="96">
        <f>SUMIFS(Transaction_Log!$C:$C, Transaction_Log!$B:$B, $A16, Transaction_Log!$A:$A, "&gt;="&amp;DATE(2026,9,1), Transaction_Log!$A:$A, "&lt;="&amp;DATE(2026,9,30))</f>
        <v>0</v>
      </c>
      <c r="L16" s="96">
        <f>SUMIFS(Transaction_Log!$C:$C, Transaction_Log!$B:$B, $A16, Transaction_Log!$A:$A, "&gt;="&amp;DATE(2026,10,1), Transaction_Log!$A:$A, "&lt;="&amp;DATE(2026,10,31))</f>
        <v>0</v>
      </c>
      <c r="M16" s="96">
        <f>SUMIFS(Transaction_Log!$C:$C, Transaction_Log!$B:$B, $A16, Transaction_Log!$A:$A, "&gt;="&amp;DATE(2026,11,1), Transaction_Log!$A:$A, "&lt;="&amp;DATE(2026,11,30))</f>
        <v>0</v>
      </c>
      <c r="N16" s="96">
        <f>SUMIFS(Transaction_Log!$C:$C, Transaction_Log!$B:$B, $A16, Transaction_Log!$A:$A, "&gt;="&amp;DATE(2026,12,1), Transaction_Log!$A:$A, "&lt;="&amp;DATE(2026,12,31))</f>
        <v>0</v>
      </c>
      <c r="O16" s="102">
        <f t="shared" si="0"/>
        <v>22500</v>
      </c>
      <c r="P16" s="99">
        <f>+DashBoard!D15</f>
        <v>0</v>
      </c>
    </row>
    <row r="17" spans="1:16" ht="15.75" customHeight="1" x14ac:dyDescent="0.2">
      <c r="A17" s="79" t="s">
        <v>11</v>
      </c>
      <c r="B17" s="77" t="str">
        <f>VLOOKUP($A17,Owner_Master!$A:$B,2,FALSE)</f>
        <v xml:space="preserve">Malathy Sundaram </v>
      </c>
      <c r="C17" s="78">
        <f>SUMIFS(Transaction_Log!$C:$C, Transaction_Log!$B:$B, $A17, Transaction_Log!$A:$A, "&gt;="&amp;DATE(2026,1,1), Transaction_Log!$A:$A, "&lt;="&amp;DATE(2026,1,31))</f>
        <v>1500</v>
      </c>
      <c r="D17" s="78">
        <f>SUMIFS(Transaction_Log!$C:$C, Transaction_Log!$B:$B, $A17, Transaction_Log!$A:$A, "&gt;="&amp;DATE(2026,2,1), Transaction_Log!$A:$A, "&lt;="&amp;DATE(2026,2,28))</f>
        <v>1500</v>
      </c>
      <c r="E17" s="78">
        <f>SUMIFS(Transaction_Log!$C:$C, Transaction_Log!$B:$B, $A17, Transaction_Log!$A:$A, "&gt;="&amp;DATE(2026,3,1), Transaction_Log!$A:$A, "&lt;="&amp;DATE(2026,3,31))</f>
        <v>1500</v>
      </c>
      <c r="F17" s="78">
        <f>SUMIFS(Transaction_Log!$C:$C, Transaction_Log!$B:$B, $A17, Transaction_Log!$A:$A, "&gt;="&amp;DATE(2026,4,1), Transaction_Log!$A:$A, "&lt;="&amp;DATE(2026,4,30))</f>
        <v>1500</v>
      </c>
      <c r="G17" s="78">
        <f>SUMIFS(Transaction_Log!$C:$C, Transaction_Log!$B:$B, $A17, Transaction_Log!$A:$A, "&gt;="&amp;DATE(2026,5,1), Transaction_Log!$A:$A, "&lt;="&amp;DATE(2026,5,31))</f>
        <v>1500</v>
      </c>
      <c r="H17" s="96">
        <f>SUMIFS(Transaction_Log!$C:$C, Transaction_Log!$B:$B, $A17, Transaction_Log!$A:$A, "&gt;="&amp;DATE(2026,6,1), Transaction_Log!$A:$A, "&lt;="&amp;DATE(2026,6,30))</f>
        <v>0</v>
      </c>
      <c r="I17" s="96">
        <f>SUMIFS(Transaction_Log!$C:$C, Transaction_Log!$B:$B, $A17, Transaction_Log!$A:$A, "&gt;="&amp;DATE(2026,7,1), Transaction_Log!$A:$A, "&lt;="&amp;DATE(2026,7,31))</f>
        <v>0</v>
      </c>
      <c r="J17" s="96">
        <f>SUMIFS(Transaction_Log!$C:$C, Transaction_Log!$B:$B, $A17, Transaction_Log!$A:$A, "&gt;="&amp;DATE(2026,8,1), Transaction_Log!$A:$A, "&lt;="&amp;DATE(2026,8,31))</f>
        <v>0</v>
      </c>
      <c r="K17" s="96">
        <f>SUMIFS(Transaction_Log!$C:$C, Transaction_Log!$B:$B, $A17, Transaction_Log!$A:$A, "&gt;="&amp;DATE(2026,9,1), Transaction_Log!$A:$A, "&lt;="&amp;DATE(2026,9,30))</f>
        <v>0</v>
      </c>
      <c r="L17" s="96">
        <f>SUMIFS(Transaction_Log!$C:$C, Transaction_Log!$B:$B, $A17, Transaction_Log!$A:$A, "&gt;="&amp;DATE(2026,10,1), Transaction_Log!$A:$A, "&lt;="&amp;DATE(2026,10,31))</f>
        <v>0</v>
      </c>
      <c r="M17" s="96">
        <f>SUMIFS(Transaction_Log!$C:$C, Transaction_Log!$B:$B, $A17, Transaction_Log!$A:$A, "&gt;="&amp;DATE(2026,11,1), Transaction_Log!$A:$A, "&lt;="&amp;DATE(2026,11,30))</f>
        <v>0</v>
      </c>
      <c r="N17" s="96">
        <f>SUMIFS(Transaction_Log!$C:$C, Transaction_Log!$B:$B, $A17, Transaction_Log!$A:$A, "&gt;="&amp;DATE(2026,12,1), Transaction_Log!$A:$A, "&lt;="&amp;DATE(2026,12,31))</f>
        <v>0</v>
      </c>
      <c r="O17" s="102">
        <f t="shared" si="0"/>
        <v>7500</v>
      </c>
      <c r="P17" s="99">
        <f>+DashBoard!D16</f>
        <v>0</v>
      </c>
    </row>
    <row r="18" spans="1:16" ht="15.75" customHeight="1" x14ac:dyDescent="0.2">
      <c r="A18" s="79" t="s">
        <v>13</v>
      </c>
      <c r="B18" s="77" t="str">
        <f>VLOOKUP($A18,Owner_Master!$A:$B,2,FALSE)</f>
        <v>M .Kalaivani Chandramohan</v>
      </c>
      <c r="C18" s="78">
        <f>SUMIFS(Transaction_Log!$C:$C, Transaction_Log!$B:$B, $A18, Transaction_Log!$A:$A, "&gt;="&amp;DATE(2026,1,1), Transaction_Log!$A:$A, "&lt;="&amp;DATE(2026,1,31))</f>
        <v>1500</v>
      </c>
      <c r="D18" s="78">
        <f>SUMIFS(Transaction_Log!$C:$C, Transaction_Log!$B:$B, $A18, Transaction_Log!$A:$A, "&gt;="&amp;DATE(2026,2,1), Transaction_Log!$A:$A, "&lt;="&amp;DATE(2026,2,28))</f>
        <v>3000</v>
      </c>
      <c r="E18" s="78">
        <f>SUMIFS(Transaction_Log!$C:$C, Transaction_Log!$B:$B, $A18, Transaction_Log!$A:$A, "&gt;="&amp;DATE(2026,3,1), Transaction_Log!$A:$A, "&lt;="&amp;DATE(2026,3,31))</f>
        <v>0</v>
      </c>
      <c r="F18" s="78">
        <f>SUMIFS(Transaction_Log!$C:$C, Transaction_Log!$B:$B, $A18, Transaction_Log!$A:$A, "&gt;="&amp;DATE(2026,4,1), Transaction_Log!$A:$A, "&lt;="&amp;DATE(2026,4,30))</f>
        <v>1500</v>
      </c>
      <c r="G18" s="78">
        <f>SUMIFS(Transaction_Log!$C:$C, Transaction_Log!$B:$B, $A18, Transaction_Log!$A:$A, "&gt;="&amp;DATE(2026,5,1), Transaction_Log!$A:$A, "&lt;="&amp;DATE(2026,5,31))</f>
        <v>1500</v>
      </c>
      <c r="H18" s="96">
        <f>SUMIFS(Transaction_Log!$C:$C, Transaction_Log!$B:$B, $A18, Transaction_Log!$A:$A, "&gt;="&amp;DATE(2026,6,1), Transaction_Log!$A:$A, "&lt;="&amp;DATE(2026,6,30))</f>
        <v>0</v>
      </c>
      <c r="I18" s="96">
        <f>SUMIFS(Transaction_Log!$C:$C, Transaction_Log!$B:$B, $A18, Transaction_Log!$A:$A, "&gt;="&amp;DATE(2026,7,1), Transaction_Log!$A:$A, "&lt;="&amp;DATE(2026,7,31))</f>
        <v>0</v>
      </c>
      <c r="J18" s="96">
        <f>SUMIFS(Transaction_Log!$C:$C, Transaction_Log!$B:$B, $A18, Transaction_Log!$A:$A, "&gt;="&amp;DATE(2026,8,1), Transaction_Log!$A:$A, "&lt;="&amp;DATE(2026,8,31))</f>
        <v>0</v>
      </c>
      <c r="K18" s="96">
        <f>SUMIFS(Transaction_Log!$C:$C, Transaction_Log!$B:$B, $A18, Transaction_Log!$A:$A, "&gt;="&amp;DATE(2026,9,1), Transaction_Log!$A:$A, "&lt;="&amp;DATE(2026,9,30))</f>
        <v>0</v>
      </c>
      <c r="L18" s="96">
        <f>SUMIFS(Transaction_Log!$C:$C, Transaction_Log!$B:$B, $A18, Transaction_Log!$A:$A, "&gt;="&amp;DATE(2026,10,1), Transaction_Log!$A:$A, "&lt;="&amp;DATE(2026,10,31))</f>
        <v>0</v>
      </c>
      <c r="M18" s="96">
        <f>SUMIFS(Transaction_Log!$C:$C, Transaction_Log!$B:$B, $A18, Transaction_Log!$A:$A, "&gt;="&amp;DATE(2026,11,1), Transaction_Log!$A:$A, "&lt;="&amp;DATE(2026,11,30))</f>
        <v>0</v>
      </c>
      <c r="N18" s="96">
        <f>SUMIFS(Transaction_Log!$C:$C, Transaction_Log!$B:$B, $A18, Transaction_Log!$A:$A, "&gt;="&amp;DATE(2026,12,1), Transaction_Log!$A:$A, "&lt;="&amp;DATE(2026,12,31))</f>
        <v>0</v>
      </c>
      <c r="O18" s="102">
        <f t="shared" si="0"/>
        <v>7500</v>
      </c>
      <c r="P18" s="99">
        <f>+DashBoard!D17</f>
        <v>0</v>
      </c>
    </row>
    <row r="19" spans="1:16" ht="15.75" customHeight="1" x14ac:dyDescent="0.2">
      <c r="A19" s="79" t="s">
        <v>47</v>
      </c>
      <c r="B19" s="77" t="str">
        <f>VLOOKUP($A19,Owner_Master!$A:$B,2,FALSE)</f>
        <v>N.Naveenkumar &amp; G.Mahalakshmi</v>
      </c>
      <c r="C19" s="78">
        <f>SUMIFS(Transaction_Log!$C:$C, Transaction_Log!$B:$B, $A19, Transaction_Log!$A:$A, "&gt;="&amp;DATE(2026,1,1), Transaction_Log!$A:$A, "&lt;="&amp;DATE(2026,1,31))</f>
        <v>1500</v>
      </c>
      <c r="D19" s="78">
        <f>SUMIFS(Transaction_Log!$C:$C, Transaction_Log!$B:$B, $A19, Transaction_Log!$A:$A, "&gt;="&amp;DATE(2026,2,1), Transaction_Log!$A:$A, "&lt;="&amp;DATE(2026,2,28))</f>
        <v>1500</v>
      </c>
      <c r="E19" s="78">
        <f>SUMIFS(Transaction_Log!$C:$C, Transaction_Log!$B:$B, $A19, Transaction_Log!$A:$A, "&gt;="&amp;DATE(2026,3,1), Transaction_Log!$A:$A, "&lt;="&amp;DATE(2026,3,31))</f>
        <v>1500</v>
      </c>
      <c r="F19" s="78">
        <f>SUMIFS(Transaction_Log!$C:$C, Transaction_Log!$B:$B, $A19, Transaction_Log!$A:$A, "&gt;="&amp;DATE(2026,4,1), Transaction_Log!$A:$A, "&lt;="&amp;DATE(2026,4,30))</f>
        <v>1500</v>
      </c>
      <c r="G19" s="78">
        <f>SUMIFS(Transaction_Log!$C:$C, Transaction_Log!$B:$B, $A19, Transaction_Log!$A:$A, "&gt;="&amp;DATE(2026,5,1), Transaction_Log!$A:$A, "&lt;="&amp;DATE(2026,5,31))</f>
        <v>1500</v>
      </c>
      <c r="H19" s="96">
        <f>SUMIFS(Transaction_Log!$C:$C, Transaction_Log!$B:$B, $A19, Transaction_Log!$A:$A, "&gt;="&amp;DATE(2026,6,1), Transaction_Log!$A:$A, "&lt;="&amp;DATE(2026,6,30))</f>
        <v>0</v>
      </c>
      <c r="I19" s="96">
        <f>SUMIFS(Transaction_Log!$C:$C, Transaction_Log!$B:$B, $A19, Transaction_Log!$A:$A, "&gt;="&amp;DATE(2026,7,1), Transaction_Log!$A:$A, "&lt;="&amp;DATE(2026,7,31))</f>
        <v>0</v>
      </c>
      <c r="J19" s="96">
        <f>SUMIFS(Transaction_Log!$C:$C, Transaction_Log!$B:$B, $A19, Transaction_Log!$A:$A, "&gt;="&amp;DATE(2026,8,1), Transaction_Log!$A:$A, "&lt;="&amp;DATE(2026,8,31))</f>
        <v>0</v>
      </c>
      <c r="K19" s="96">
        <f>SUMIFS(Transaction_Log!$C:$C, Transaction_Log!$B:$B, $A19, Transaction_Log!$A:$A, "&gt;="&amp;DATE(2026,9,1), Transaction_Log!$A:$A, "&lt;="&amp;DATE(2026,9,30))</f>
        <v>0</v>
      </c>
      <c r="L19" s="96">
        <f>SUMIFS(Transaction_Log!$C:$C, Transaction_Log!$B:$B, $A19, Transaction_Log!$A:$A, "&gt;="&amp;DATE(2026,10,1), Transaction_Log!$A:$A, "&lt;="&amp;DATE(2026,10,31))</f>
        <v>0</v>
      </c>
      <c r="M19" s="96">
        <f>SUMIFS(Transaction_Log!$C:$C, Transaction_Log!$B:$B, $A19, Transaction_Log!$A:$A, "&gt;="&amp;DATE(2026,11,1), Transaction_Log!$A:$A, "&lt;="&amp;DATE(2026,11,30))</f>
        <v>0</v>
      </c>
      <c r="N19" s="96">
        <f>SUMIFS(Transaction_Log!$C:$C, Transaction_Log!$B:$B, $A19, Transaction_Log!$A:$A, "&gt;="&amp;DATE(2026,12,1), Transaction_Log!$A:$A, "&lt;="&amp;DATE(2026,12,31))</f>
        <v>0</v>
      </c>
      <c r="O19" s="102">
        <f t="shared" si="0"/>
        <v>7500</v>
      </c>
      <c r="P19" s="99">
        <f>+DashBoard!D18</f>
        <v>3000</v>
      </c>
    </row>
    <row r="20" spans="1:16" ht="15.75" customHeight="1" x14ac:dyDescent="0.2">
      <c r="A20" s="79" t="s">
        <v>15</v>
      </c>
      <c r="B20" s="77" t="str">
        <f>VLOOKUP($A20,Owner_Master!$A:$B,2,FALSE)</f>
        <v>S.V. Sanjeev Kumar</v>
      </c>
      <c r="C20" s="78">
        <f>SUMIFS(Transaction_Log!$C:$C, Transaction_Log!$B:$B, $A20, Transaction_Log!$A:$A, "&gt;="&amp;DATE(2026,1,1), Transaction_Log!$A:$A, "&lt;="&amp;DATE(2026,1,31))</f>
        <v>1500</v>
      </c>
      <c r="D20" s="78">
        <f>SUMIFS(Transaction_Log!$C:$C, Transaction_Log!$B:$B, $A20, Transaction_Log!$A:$A, "&gt;="&amp;DATE(2026,2,1), Transaction_Log!$A:$A, "&lt;="&amp;DATE(2026,2,28))</f>
        <v>1500</v>
      </c>
      <c r="E20" s="78">
        <f>SUMIFS(Transaction_Log!$C:$C, Transaction_Log!$B:$B, $A20, Transaction_Log!$A:$A, "&gt;="&amp;DATE(2026,3,1), Transaction_Log!$A:$A, "&lt;="&amp;DATE(2026,3,31))</f>
        <v>0</v>
      </c>
      <c r="F20" s="78">
        <f>SUMIFS(Transaction_Log!$C:$C, Transaction_Log!$B:$B, $A20, Transaction_Log!$A:$A, "&gt;="&amp;DATE(2026,4,1), Transaction_Log!$A:$A, "&lt;="&amp;DATE(2026,4,30))</f>
        <v>0</v>
      </c>
      <c r="G20" s="78">
        <f>SUMIFS(Transaction_Log!$C:$C, Transaction_Log!$B:$B, $A20, Transaction_Log!$A:$A, "&gt;="&amp;DATE(2026,5,1), Transaction_Log!$A:$A, "&lt;="&amp;DATE(2026,5,31))</f>
        <v>0</v>
      </c>
      <c r="H20" s="96">
        <f>SUMIFS(Transaction_Log!$C:$C, Transaction_Log!$B:$B, $A20, Transaction_Log!$A:$A, "&gt;="&amp;DATE(2026,6,1), Transaction_Log!$A:$A, "&lt;="&amp;DATE(2026,6,30))</f>
        <v>0</v>
      </c>
      <c r="I20" s="96">
        <f>SUMIFS(Transaction_Log!$C:$C, Transaction_Log!$B:$B, $A20, Transaction_Log!$A:$A, "&gt;="&amp;DATE(2026,7,1), Transaction_Log!$A:$A, "&lt;="&amp;DATE(2026,7,31))</f>
        <v>0</v>
      </c>
      <c r="J20" s="96">
        <f>SUMIFS(Transaction_Log!$C:$C, Transaction_Log!$B:$B, $A20, Transaction_Log!$A:$A, "&gt;="&amp;DATE(2026,8,1), Transaction_Log!$A:$A, "&lt;="&amp;DATE(2026,8,31))</f>
        <v>0</v>
      </c>
      <c r="K20" s="96">
        <f>SUMIFS(Transaction_Log!$C:$C, Transaction_Log!$B:$B, $A20, Transaction_Log!$A:$A, "&gt;="&amp;DATE(2026,9,1), Transaction_Log!$A:$A, "&lt;="&amp;DATE(2026,9,30))</f>
        <v>0</v>
      </c>
      <c r="L20" s="96">
        <f>SUMIFS(Transaction_Log!$C:$C, Transaction_Log!$B:$B, $A20, Transaction_Log!$A:$A, "&gt;="&amp;DATE(2026,10,1), Transaction_Log!$A:$A, "&lt;="&amp;DATE(2026,10,31))</f>
        <v>0</v>
      </c>
      <c r="M20" s="96">
        <f>SUMIFS(Transaction_Log!$C:$C, Transaction_Log!$B:$B, $A20, Transaction_Log!$A:$A, "&gt;="&amp;DATE(2026,11,1), Transaction_Log!$A:$A, "&lt;="&amp;DATE(2026,11,30))</f>
        <v>0</v>
      </c>
      <c r="N20" s="96">
        <f>SUMIFS(Transaction_Log!$C:$C, Transaction_Log!$B:$B, $A20, Transaction_Log!$A:$A, "&gt;="&amp;DATE(2026,12,1), Transaction_Log!$A:$A, "&lt;="&amp;DATE(2026,12,31))</f>
        <v>0</v>
      </c>
      <c r="O20" s="102">
        <f t="shared" si="0"/>
        <v>3000</v>
      </c>
      <c r="P20" s="99">
        <f>+DashBoard!D19</f>
        <v>4500</v>
      </c>
    </row>
    <row r="21" spans="1:16" ht="15.75" customHeight="1" x14ac:dyDescent="0.2">
      <c r="A21" s="79" t="s">
        <v>75</v>
      </c>
      <c r="B21" s="77" t="str">
        <f>VLOOKUP($A21,Owner_Master!$A:$B,2,FALSE)</f>
        <v>A.M. Rajkumar &amp; Krishnaveni</v>
      </c>
      <c r="C21" s="78">
        <f>SUMIFS(Transaction_Log!$C:$C, Transaction_Log!$B:$B, $A21, Transaction_Log!$A:$A, "&gt;="&amp;DATE(2026,1,1), Transaction_Log!$A:$A, "&lt;="&amp;DATE(2026,1,31))</f>
        <v>0</v>
      </c>
      <c r="D21" s="78">
        <f>SUMIFS(Transaction_Log!$C:$C, Transaction_Log!$B:$B, $A21, Transaction_Log!$A:$A, "&gt;="&amp;DATE(2026,2,1), Transaction_Log!$A:$A, "&lt;="&amp;DATE(2026,2,28))</f>
        <v>0</v>
      </c>
      <c r="E21" s="78">
        <f>SUMIFS(Transaction_Log!$C:$C, Transaction_Log!$B:$B, $A21, Transaction_Log!$A:$A, "&gt;="&amp;DATE(2026,3,1), Transaction_Log!$A:$A, "&lt;="&amp;DATE(2026,3,31))</f>
        <v>21000</v>
      </c>
      <c r="F21" s="78">
        <f>SUMIFS(Transaction_Log!$C:$C, Transaction_Log!$B:$B, $A21, Transaction_Log!$A:$A, "&gt;="&amp;DATE(2026,4,1), Transaction_Log!$A:$A, "&lt;="&amp;DATE(2026,4,30))</f>
        <v>1500</v>
      </c>
      <c r="G21" s="78">
        <f>SUMIFS(Transaction_Log!$C:$C, Transaction_Log!$B:$B, $A21, Transaction_Log!$A:$A, "&gt;="&amp;DATE(2026,5,1), Transaction_Log!$A:$A, "&lt;="&amp;DATE(2026,5,31))</f>
        <v>1500</v>
      </c>
      <c r="H21" s="96">
        <f>SUMIFS(Transaction_Log!$C:$C, Transaction_Log!$B:$B, $A21, Transaction_Log!$A:$A, "&gt;="&amp;DATE(2026,6,1), Transaction_Log!$A:$A, "&lt;="&amp;DATE(2026,6,30))</f>
        <v>0</v>
      </c>
      <c r="I21" s="96">
        <f>SUMIFS(Transaction_Log!$C:$C, Transaction_Log!$B:$B, $A21, Transaction_Log!$A:$A, "&gt;="&amp;DATE(2026,7,1), Transaction_Log!$A:$A, "&lt;="&amp;DATE(2026,7,31))</f>
        <v>0</v>
      </c>
      <c r="J21" s="96">
        <f>SUMIFS(Transaction_Log!$C:$C, Transaction_Log!$B:$B, $A21, Transaction_Log!$A:$A, "&gt;="&amp;DATE(2026,8,1), Transaction_Log!$A:$A, "&lt;="&amp;DATE(2026,8,31))</f>
        <v>0</v>
      </c>
      <c r="K21" s="96">
        <f>SUMIFS(Transaction_Log!$C:$C, Transaction_Log!$B:$B, $A21, Transaction_Log!$A:$A, "&gt;="&amp;DATE(2026,9,1), Transaction_Log!$A:$A, "&lt;="&amp;DATE(2026,9,30))</f>
        <v>0</v>
      </c>
      <c r="L21" s="96">
        <f>SUMIFS(Transaction_Log!$C:$C, Transaction_Log!$B:$B, $A21, Transaction_Log!$A:$A, "&gt;="&amp;DATE(2026,10,1), Transaction_Log!$A:$A, "&lt;="&amp;DATE(2026,10,31))</f>
        <v>0</v>
      </c>
      <c r="M21" s="96">
        <f>SUMIFS(Transaction_Log!$C:$C, Transaction_Log!$B:$B, $A21, Transaction_Log!$A:$A, "&gt;="&amp;DATE(2026,11,1), Transaction_Log!$A:$A, "&lt;="&amp;DATE(2026,11,30))</f>
        <v>0</v>
      </c>
      <c r="N21" s="96">
        <f>SUMIFS(Transaction_Log!$C:$C, Transaction_Log!$B:$B, $A21, Transaction_Log!$A:$A, "&gt;="&amp;DATE(2026,12,1), Transaction_Log!$A:$A, "&lt;="&amp;DATE(2026,12,31))</f>
        <v>0</v>
      </c>
      <c r="O21" s="102">
        <f t="shared" si="0"/>
        <v>24000</v>
      </c>
      <c r="P21" s="99">
        <f>+DashBoard!D20</f>
        <v>0</v>
      </c>
    </row>
    <row r="22" spans="1:16" ht="15.75" customHeight="1" x14ac:dyDescent="0.2">
      <c r="A22" s="79" t="s">
        <v>104</v>
      </c>
      <c r="B22" s="77" t="str">
        <f>VLOOKUP($A22,Owner_Master!$A:$B,2,FALSE)</f>
        <v>N. Jaya</v>
      </c>
      <c r="C22" s="78">
        <f>SUMIFS(Transaction_Log!$C:$C, Transaction_Log!$B:$B, $A22, Transaction_Log!$A:$A, "&gt;="&amp;DATE(2026,1,1), Transaction_Log!$A:$A, "&lt;="&amp;DATE(2026,1,31))</f>
        <v>0</v>
      </c>
      <c r="D22" s="78">
        <f>SUMIFS(Transaction_Log!$C:$C, Transaction_Log!$B:$B, $A22, Transaction_Log!$A:$A, "&gt;="&amp;DATE(2026,2,1), Transaction_Log!$A:$A, "&lt;="&amp;DATE(2026,2,28))</f>
        <v>3000</v>
      </c>
      <c r="E22" s="78">
        <f>SUMIFS(Transaction_Log!$C:$C, Transaction_Log!$B:$B, $A22, Transaction_Log!$A:$A, "&gt;="&amp;DATE(2026,3,1), Transaction_Log!$A:$A, "&lt;="&amp;DATE(2026,3,31))</f>
        <v>0</v>
      </c>
      <c r="F22" s="78">
        <f>SUMIFS(Transaction_Log!$C:$C, Transaction_Log!$B:$B, $A22, Transaction_Log!$A:$A, "&gt;="&amp;DATE(2026,4,1), Transaction_Log!$A:$A, "&lt;="&amp;DATE(2026,4,30))</f>
        <v>1500</v>
      </c>
      <c r="G22" s="78">
        <f>SUMIFS(Transaction_Log!$C:$C, Transaction_Log!$B:$B, $A22, Transaction_Log!$A:$A, "&gt;="&amp;DATE(2026,5,1), Transaction_Log!$A:$A, "&lt;="&amp;DATE(2026,5,31))</f>
        <v>0</v>
      </c>
      <c r="H22" s="96">
        <f>SUMIFS(Transaction_Log!$C:$C, Transaction_Log!$B:$B, $A22, Transaction_Log!$A:$A, "&gt;="&amp;DATE(2026,6,1), Transaction_Log!$A:$A, "&lt;="&amp;DATE(2026,6,30))</f>
        <v>0</v>
      </c>
      <c r="I22" s="96">
        <f>SUMIFS(Transaction_Log!$C:$C, Transaction_Log!$B:$B, $A22, Transaction_Log!$A:$A, "&gt;="&amp;DATE(2026,7,1), Transaction_Log!$A:$A, "&lt;="&amp;DATE(2026,7,31))</f>
        <v>0</v>
      </c>
      <c r="J22" s="96">
        <f>SUMIFS(Transaction_Log!$C:$C, Transaction_Log!$B:$B, $A22, Transaction_Log!$A:$A, "&gt;="&amp;DATE(2026,8,1), Transaction_Log!$A:$A, "&lt;="&amp;DATE(2026,8,31))</f>
        <v>0</v>
      </c>
      <c r="K22" s="96">
        <f>SUMIFS(Transaction_Log!$C:$C, Transaction_Log!$B:$B, $A22, Transaction_Log!$A:$A, "&gt;="&amp;DATE(2026,9,1), Transaction_Log!$A:$A, "&lt;="&amp;DATE(2026,9,30))</f>
        <v>0</v>
      </c>
      <c r="L22" s="96">
        <f>SUMIFS(Transaction_Log!$C:$C, Transaction_Log!$B:$B, $A22, Transaction_Log!$A:$A, "&gt;="&amp;DATE(2026,10,1), Transaction_Log!$A:$A, "&lt;="&amp;DATE(2026,10,31))</f>
        <v>0</v>
      </c>
      <c r="M22" s="96">
        <f>SUMIFS(Transaction_Log!$C:$C, Transaction_Log!$B:$B, $A22, Transaction_Log!$A:$A, "&gt;="&amp;DATE(2026,11,1), Transaction_Log!$A:$A, "&lt;="&amp;DATE(2026,11,30))</f>
        <v>0</v>
      </c>
      <c r="N22" s="96">
        <f>SUMIFS(Transaction_Log!$C:$C, Transaction_Log!$B:$B, $A22, Transaction_Log!$A:$A, "&gt;="&amp;DATE(2026,12,1), Transaction_Log!$A:$A, "&lt;="&amp;DATE(2026,12,31))</f>
        <v>0</v>
      </c>
      <c r="O22" s="102">
        <f t="shared" si="0"/>
        <v>4500</v>
      </c>
      <c r="P22" s="99">
        <f>+DashBoard!D21</f>
        <v>1500</v>
      </c>
    </row>
    <row r="23" spans="1:16" ht="15.75" customHeight="1" x14ac:dyDescent="0.2">
      <c r="A23" s="79" t="s">
        <v>17</v>
      </c>
      <c r="B23" s="77" t="str">
        <f>VLOOKUP($A23,Owner_Master!$A:$B,2,FALSE)</f>
        <v xml:space="preserve">S.Rajeswari </v>
      </c>
      <c r="C23" s="78">
        <f>SUMIFS(Transaction_Log!$C:$C, Transaction_Log!$B:$B, $A23, Transaction_Log!$A:$A, "&gt;="&amp;DATE(2026,1,1), Transaction_Log!$A:$A, "&lt;="&amp;DATE(2026,1,31))</f>
        <v>1500</v>
      </c>
      <c r="D23" s="78">
        <f>SUMIFS(Transaction_Log!$C:$C, Transaction_Log!$B:$B, $A23, Transaction_Log!$A:$A, "&gt;="&amp;DATE(2026,2,1), Transaction_Log!$A:$A, "&lt;="&amp;DATE(2026,2,28))</f>
        <v>1500</v>
      </c>
      <c r="E23" s="78">
        <f>SUMIFS(Transaction_Log!$C:$C, Transaction_Log!$B:$B, $A23, Transaction_Log!$A:$A, "&gt;="&amp;DATE(2026,3,1), Transaction_Log!$A:$A, "&lt;="&amp;DATE(2026,3,31))</f>
        <v>0</v>
      </c>
      <c r="F23" s="78">
        <f>SUMIFS(Transaction_Log!$C:$C, Transaction_Log!$B:$B, $A23, Transaction_Log!$A:$A, "&gt;="&amp;DATE(2026,4,1), Transaction_Log!$A:$A, "&lt;="&amp;DATE(2026,4,30))</f>
        <v>1500</v>
      </c>
      <c r="G23" s="78">
        <f>SUMIFS(Transaction_Log!$C:$C, Transaction_Log!$B:$B, $A23, Transaction_Log!$A:$A, "&gt;="&amp;DATE(2026,5,1), Transaction_Log!$A:$A, "&lt;="&amp;DATE(2026,5,31))</f>
        <v>1500</v>
      </c>
      <c r="H23" s="96">
        <f>SUMIFS(Transaction_Log!$C:$C, Transaction_Log!$B:$B, $A23, Transaction_Log!$A:$A, "&gt;="&amp;DATE(2026,6,1), Transaction_Log!$A:$A, "&lt;="&amp;DATE(2026,6,30))</f>
        <v>0</v>
      </c>
      <c r="I23" s="96">
        <f>SUMIFS(Transaction_Log!$C:$C, Transaction_Log!$B:$B, $A23, Transaction_Log!$A:$A, "&gt;="&amp;DATE(2026,7,1), Transaction_Log!$A:$A, "&lt;="&amp;DATE(2026,7,31))</f>
        <v>0</v>
      </c>
      <c r="J23" s="96">
        <f>SUMIFS(Transaction_Log!$C:$C, Transaction_Log!$B:$B, $A23, Transaction_Log!$A:$A, "&gt;="&amp;DATE(2026,8,1), Transaction_Log!$A:$A, "&lt;="&amp;DATE(2026,8,31))</f>
        <v>0</v>
      </c>
      <c r="K23" s="96">
        <f>SUMIFS(Transaction_Log!$C:$C, Transaction_Log!$B:$B, $A23, Transaction_Log!$A:$A, "&gt;="&amp;DATE(2026,9,1), Transaction_Log!$A:$A, "&lt;="&amp;DATE(2026,9,30))</f>
        <v>0</v>
      </c>
      <c r="L23" s="96">
        <f>SUMIFS(Transaction_Log!$C:$C, Transaction_Log!$B:$B, $A23, Transaction_Log!$A:$A, "&gt;="&amp;DATE(2026,10,1), Transaction_Log!$A:$A, "&lt;="&amp;DATE(2026,10,31))</f>
        <v>0</v>
      </c>
      <c r="M23" s="96">
        <f>SUMIFS(Transaction_Log!$C:$C, Transaction_Log!$B:$B, $A23, Transaction_Log!$A:$A, "&gt;="&amp;DATE(2026,11,1), Transaction_Log!$A:$A, "&lt;="&amp;DATE(2026,11,30))</f>
        <v>0</v>
      </c>
      <c r="N23" s="96">
        <f>SUMIFS(Transaction_Log!$C:$C, Transaction_Log!$B:$B, $A23, Transaction_Log!$A:$A, "&gt;="&amp;DATE(2026,12,1), Transaction_Log!$A:$A, "&lt;="&amp;DATE(2026,12,31))</f>
        <v>0</v>
      </c>
      <c r="O23" s="102">
        <f t="shared" si="0"/>
        <v>6000</v>
      </c>
      <c r="P23" s="99">
        <f>+DashBoard!D22</f>
        <v>1500</v>
      </c>
    </row>
    <row r="24" spans="1:16" ht="15.75" customHeight="1" x14ac:dyDescent="0.2">
      <c r="A24" s="79" t="s">
        <v>77</v>
      </c>
      <c r="B24" s="77" t="str">
        <f>VLOOKUP($A24,Owner_Master!$A:$B,2,FALSE)</f>
        <v xml:space="preserve">Dr. S. Abdhul Salam </v>
      </c>
      <c r="C24" s="78">
        <f>SUMIFS(Transaction_Log!$C:$C, Transaction_Log!$B:$B, $A24, Transaction_Log!$A:$A, "&gt;="&amp;DATE(2026,1,1), Transaction_Log!$A:$A, "&lt;="&amp;DATE(2026,1,31))</f>
        <v>0</v>
      </c>
      <c r="D24" s="78">
        <f>SUMIFS(Transaction_Log!$C:$C, Transaction_Log!$B:$B, $A24, Transaction_Log!$A:$A, "&gt;="&amp;DATE(2026,2,1), Transaction_Log!$A:$A, "&lt;="&amp;DATE(2026,2,28))</f>
        <v>0</v>
      </c>
      <c r="E24" s="78">
        <f>SUMIFS(Transaction_Log!$C:$C, Transaction_Log!$B:$B, $A24, Transaction_Log!$A:$A, "&gt;="&amp;DATE(2026,3,1), Transaction_Log!$A:$A, "&lt;="&amp;DATE(2026,3,31))</f>
        <v>0</v>
      </c>
      <c r="F24" s="78">
        <f>SUMIFS(Transaction_Log!$C:$C, Transaction_Log!$B:$B, $A24, Transaction_Log!$A:$A, "&gt;="&amp;DATE(2026,4,1), Transaction_Log!$A:$A, "&lt;="&amp;DATE(2026,4,30))</f>
        <v>0</v>
      </c>
      <c r="G24" s="78">
        <f>SUMIFS(Transaction_Log!$C:$C, Transaction_Log!$B:$B, $A24, Transaction_Log!$A:$A, "&gt;="&amp;DATE(2026,5,1), Transaction_Log!$A:$A, "&lt;="&amp;DATE(2026,5,31))</f>
        <v>0</v>
      </c>
      <c r="H24" s="96">
        <f>SUMIFS(Transaction_Log!$C:$C, Transaction_Log!$B:$B, $A24, Transaction_Log!$A:$A, "&gt;="&amp;DATE(2026,6,1), Transaction_Log!$A:$A, "&lt;="&amp;DATE(2026,6,30))</f>
        <v>0</v>
      </c>
      <c r="I24" s="96">
        <f>SUMIFS(Transaction_Log!$C:$C, Transaction_Log!$B:$B, $A24, Transaction_Log!$A:$A, "&gt;="&amp;DATE(2026,7,1), Transaction_Log!$A:$A, "&lt;="&amp;DATE(2026,7,31))</f>
        <v>0</v>
      </c>
      <c r="J24" s="96">
        <f>SUMIFS(Transaction_Log!$C:$C, Transaction_Log!$B:$B, $A24, Transaction_Log!$A:$A, "&gt;="&amp;DATE(2026,8,1), Transaction_Log!$A:$A, "&lt;="&amp;DATE(2026,8,31))</f>
        <v>0</v>
      </c>
      <c r="K24" s="96">
        <f>SUMIFS(Transaction_Log!$C:$C, Transaction_Log!$B:$B, $A24, Transaction_Log!$A:$A, "&gt;="&amp;DATE(2026,9,1), Transaction_Log!$A:$A, "&lt;="&amp;DATE(2026,9,30))</f>
        <v>0</v>
      </c>
      <c r="L24" s="96">
        <f>SUMIFS(Transaction_Log!$C:$C, Transaction_Log!$B:$B, $A24, Transaction_Log!$A:$A, "&gt;="&amp;DATE(2026,10,1), Transaction_Log!$A:$A, "&lt;="&amp;DATE(2026,10,31))</f>
        <v>0</v>
      </c>
      <c r="M24" s="96">
        <f>SUMIFS(Transaction_Log!$C:$C, Transaction_Log!$B:$B, $A24, Transaction_Log!$A:$A, "&gt;="&amp;DATE(2026,11,1), Transaction_Log!$A:$A, "&lt;="&amp;DATE(2026,11,30))</f>
        <v>0</v>
      </c>
      <c r="N24" s="96">
        <f>SUMIFS(Transaction_Log!$C:$C, Transaction_Log!$B:$B, $A24, Transaction_Log!$A:$A, "&gt;="&amp;DATE(2026,12,1), Transaction_Log!$A:$A, "&lt;="&amp;DATE(2026,12,31))</f>
        <v>0</v>
      </c>
      <c r="O24" s="102">
        <f t="shared" si="0"/>
        <v>0</v>
      </c>
      <c r="P24" s="99">
        <f>+DashBoard!D23</f>
        <v>24500</v>
      </c>
    </row>
    <row r="25" spans="1:16" ht="15.75" customHeight="1" x14ac:dyDescent="0.2">
      <c r="A25" s="79" t="s">
        <v>63</v>
      </c>
      <c r="B25" s="77" t="str">
        <f>VLOOKUP($A25,Owner_Master!$A:$B,2,FALSE)</f>
        <v>Srinivasan Ramamoorthy/ Srividya Devarajan</v>
      </c>
      <c r="C25" s="78">
        <f>SUMIFS(Transaction_Log!$C:$C, Transaction_Log!$B:$B, $A25, Transaction_Log!$A:$A, "&gt;="&amp;DATE(2026,1,1), Transaction_Log!$A:$A, "&lt;="&amp;DATE(2026,1,31))</f>
        <v>0</v>
      </c>
      <c r="D25" s="78">
        <f>SUMIFS(Transaction_Log!$C:$C, Transaction_Log!$B:$B, $A25, Transaction_Log!$A:$A, "&gt;="&amp;DATE(2026,2,1), Transaction_Log!$A:$A, "&lt;="&amp;DATE(2026,2,28))</f>
        <v>0</v>
      </c>
      <c r="E25" s="78">
        <f>SUMIFS(Transaction_Log!$C:$C, Transaction_Log!$B:$B, $A25, Transaction_Log!$A:$A, "&gt;="&amp;DATE(2026,3,1), Transaction_Log!$A:$A, "&lt;="&amp;DATE(2026,3,31))</f>
        <v>15000</v>
      </c>
      <c r="F25" s="78">
        <f>SUMIFS(Transaction_Log!$C:$C, Transaction_Log!$B:$B, $A25, Transaction_Log!$A:$A, "&gt;="&amp;DATE(2026,4,1), Transaction_Log!$A:$A, "&lt;="&amp;DATE(2026,4,30))</f>
        <v>0</v>
      </c>
      <c r="G25" s="78">
        <f>SUMIFS(Transaction_Log!$C:$C, Transaction_Log!$B:$B, $A25, Transaction_Log!$A:$A, "&gt;="&amp;DATE(2026,5,1), Transaction_Log!$A:$A, "&lt;="&amp;DATE(2026,5,31))</f>
        <v>0</v>
      </c>
      <c r="H25" s="96">
        <f>SUMIFS(Transaction_Log!$C:$C, Transaction_Log!$B:$B, $A25, Transaction_Log!$A:$A, "&gt;="&amp;DATE(2026,6,1), Transaction_Log!$A:$A, "&lt;="&amp;DATE(2026,6,30))</f>
        <v>0</v>
      </c>
      <c r="I25" s="96">
        <f>SUMIFS(Transaction_Log!$C:$C, Transaction_Log!$B:$B, $A25, Transaction_Log!$A:$A, "&gt;="&amp;DATE(2026,7,1), Transaction_Log!$A:$A, "&lt;="&amp;DATE(2026,7,31))</f>
        <v>0</v>
      </c>
      <c r="J25" s="96">
        <f>SUMIFS(Transaction_Log!$C:$C, Transaction_Log!$B:$B, $A25, Transaction_Log!$A:$A, "&gt;="&amp;DATE(2026,8,1), Transaction_Log!$A:$A, "&lt;="&amp;DATE(2026,8,31))</f>
        <v>0</v>
      </c>
      <c r="K25" s="96">
        <f>SUMIFS(Transaction_Log!$C:$C, Transaction_Log!$B:$B, $A25, Transaction_Log!$A:$A, "&gt;="&amp;DATE(2026,9,1), Transaction_Log!$A:$A, "&lt;="&amp;DATE(2026,9,30))</f>
        <v>0</v>
      </c>
      <c r="L25" s="96">
        <f>SUMIFS(Transaction_Log!$C:$C, Transaction_Log!$B:$B, $A25, Transaction_Log!$A:$A, "&gt;="&amp;DATE(2026,10,1), Transaction_Log!$A:$A, "&lt;="&amp;DATE(2026,10,31))</f>
        <v>0</v>
      </c>
      <c r="M25" s="96">
        <f>SUMIFS(Transaction_Log!$C:$C, Transaction_Log!$B:$B, $A25, Transaction_Log!$A:$A, "&gt;="&amp;DATE(2026,11,1), Transaction_Log!$A:$A, "&lt;="&amp;DATE(2026,11,30))</f>
        <v>0</v>
      </c>
      <c r="N25" s="96">
        <f>SUMIFS(Transaction_Log!$C:$C, Transaction_Log!$B:$B, $A25, Transaction_Log!$A:$A, "&gt;="&amp;DATE(2026,12,1), Transaction_Log!$A:$A, "&lt;="&amp;DATE(2026,12,31))</f>
        <v>0</v>
      </c>
      <c r="O25" s="102">
        <f t="shared" si="0"/>
        <v>15000</v>
      </c>
      <c r="P25" s="99">
        <f>+DashBoard!D24</f>
        <v>3000</v>
      </c>
    </row>
    <row r="26" spans="1:16" ht="15.75" customHeight="1" x14ac:dyDescent="0.2">
      <c r="A26" s="79" t="s">
        <v>100</v>
      </c>
      <c r="B26" s="77" t="str">
        <f>VLOOKUP($A26,Owner_Master!$A:$B,2,FALSE)</f>
        <v>Narasimhan Nagarajan</v>
      </c>
      <c r="C26" s="78">
        <f>SUMIFS(Transaction_Log!$C:$C, Transaction_Log!$B:$B, $A26, Transaction_Log!$A:$A, "&gt;="&amp;DATE(2026,1,1), Transaction_Log!$A:$A, "&lt;="&amp;DATE(2026,1,31))</f>
        <v>0</v>
      </c>
      <c r="D26" s="78">
        <f>SUMIFS(Transaction_Log!$C:$C, Transaction_Log!$B:$B, $A26, Transaction_Log!$A:$A, "&gt;="&amp;DATE(2026,2,1), Transaction_Log!$A:$A, "&lt;="&amp;DATE(2026,2,28))</f>
        <v>0</v>
      </c>
      <c r="E26" s="78">
        <f>SUMIFS(Transaction_Log!$C:$C, Transaction_Log!$B:$B, $A26, Transaction_Log!$A:$A, "&gt;="&amp;DATE(2026,3,1), Transaction_Log!$A:$A, "&lt;="&amp;DATE(2026,3,31))</f>
        <v>0</v>
      </c>
      <c r="F26" s="78">
        <f>SUMIFS(Transaction_Log!$C:$C, Transaction_Log!$B:$B, $A26, Transaction_Log!$A:$A, "&gt;="&amp;DATE(2026,4,1), Transaction_Log!$A:$A, "&lt;="&amp;DATE(2026,4,30))</f>
        <v>0</v>
      </c>
      <c r="G26" s="78">
        <f>SUMIFS(Transaction_Log!$C:$C, Transaction_Log!$B:$B, $A26, Transaction_Log!$A:$A, "&gt;="&amp;DATE(2026,5,1), Transaction_Log!$A:$A, "&lt;="&amp;DATE(2026,5,31))</f>
        <v>0</v>
      </c>
      <c r="H26" s="96">
        <f>SUMIFS(Transaction_Log!$C:$C, Transaction_Log!$B:$B, $A26, Transaction_Log!$A:$A, "&gt;="&amp;DATE(2026,6,1), Transaction_Log!$A:$A, "&lt;="&amp;DATE(2026,6,30))</f>
        <v>0</v>
      </c>
      <c r="I26" s="96">
        <f>SUMIFS(Transaction_Log!$C:$C, Transaction_Log!$B:$B, $A26, Transaction_Log!$A:$A, "&gt;="&amp;DATE(2026,7,1), Transaction_Log!$A:$A, "&lt;="&amp;DATE(2026,7,31))</f>
        <v>0</v>
      </c>
      <c r="J26" s="96">
        <f>SUMIFS(Transaction_Log!$C:$C, Transaction_Log!$B:$B, $A26, Transaction_Log!$A:$A, "&gt;="&amp;DATE(2026,8,1), Transaction_Log!$A:$A, "&lt;="&amp;DATE(2026,8,31))</f>
        <v>0</v>
      </c>
      <c r="K26" s="96">
        <f>SUMIFS(Transaction_Log!$C:$C, Transaction_Log!$B:$B, $A26, Transaction_Log!$A:$A, "&gt;="&amp;DATE(2026,9,1), Transaction_Log!$A:$A, "&lt;="&amp;DATE(2026,9,30))</f>
        <v>0</v>
      </c>
      <c r="L26" s="96">
        <f>SUMIFS(Transaction_Log!$C:$C, Transaction_Log!$B:$B, $A26, Transaction_Log!$A:$A, "&gt;="&amp;DATE(2026,10,1), Transaction_Log!$A:$A, "&lt;="&amp;DATE(2026,10,31))</f>
        <v>0</v>
      </c>
      <c r="M26" s="96">
        <f>SUMIFS(Transaction_Log!$C:$C, Transaction_Log!$B:$B, $A26, Transaction_Log!$A:$A, "&gt;="&amp;DATE(2026,11,1), Transaction_Log!$A:$A, "&lt;="&amp;DATE(2026,11,30))</f>
        <v>0</v>
      </c>
      <c r="N26" s="96">
        <f>SUMIFS(Transaction_Log!$C:$C, Transaction_Log!$B:$B, $A26, Transaction_Log!$A:$A, "&gt;="&amp;DATE(2026,12,1), Transaction_Log!$A:$A, "&lt;="&amp;DATE(2026,12,31))</f>
        <v>0</v>
      </c>
      <c r="O26" s="102">
        <f t="shared" si="0"/>
        <v>0</v>
      </c>
      <c r="P26" s="99">
        <f>+DashBoard!D25</f>
        <v>3000</v>
      </c>
    </row>
    <row r="27" spans="1:16" ht="15.75" customHeight="1" x14ac:dyDescent="0.2">
      <c r="A27" s="79" t="s">
        <v>61</v>
      </c>
      <c r="B27" s="77" t="str">
        <f>VLOOKUP($A27,Owner_Master!$A:$B,2,FALSE)</f>
        <v>Vijayaraghavan &amp; Hema Vijayaraghavan</v>
      </c>
      <c r="C27" s="78">
        <f>SUMIFS(Transaction_Log!$C:$C, Transaction_Log!$B:$B, $A27, Transaction_Log!$A:$A, "&gt;="&amp;DATE(2026,1,1), Transaction_Log!$A:$A, "&lt;="&amp;DATE(2026,1,31))</f>
        <v>0</v>
      </c>
      <c r="D27" s="78">
        <f>SUMIFS(Transaction_Log!$C:$C, Transaction_Log!$B:$B, $A27, Transaction_Log!$A:$A, "&gt;="&amp;DATE(2026,2,1), Transaction_Log!$A:$A, "&lt;="&amp;DATE(2026,2,28))</f>
        <v>0</v>
      </c>
      <c r="E27" s="78">
        <f>SUMIFS(Transaction_Log!$C:$C, Transaction_Log!$B:$B, $A27, Transaction_Log!$A:$A, "&gt;="&amp;DATE(2026,3,1), Transaction_Log!$A:$A, "&lt;="&amp;DATE(2026,3,31))</f>
        <v>0</v>
      </c>
      <c r="F27" s="78">
        <f>SUMIFS(Transaction_Log!$C:$C, Transaction_Log!$B:$B, $A27, Transaction_Log!$A:$A, "&gt;="&amp;DATE(2026,4,1), Transaction_Log!$A:$A, "&lt;="&amp;DATE(2026,4,30))</f>
        <v>0</v>
      </c>
      <c r="G27" s="78">
        <f>SUMIFS(Transaction_Log!$C:$C, Transaction_Log!$B:$B, $A27, Transaction_Log!$A:$A, "&gt;="&amp;DATE(2026,5,1), Transaction_Log!$A:$A, "&lt;="&amp;DATE(2026,5,31))</f>
        <v>13500</v>
      </c>
      <c r="H27" s="96">
        <f>SUMIFS(Transaction_Log!$C:$C, Transaction_Log!$B:$B, $A27, Transaction_Log!$A:$A, "&gt;="&amp;DATE(2026,6,1), Transaction_Log!$A:$A, "&lt;="&amp;DATE(2026,6,30))</f>
        <v>0</v>
      </c>
      <c r="I27" s="96">
        <f>SUMIFS(Transaction_Log!$C:$C, Transaction_Log!$B:$B, $A27, Transaction_Log!$A:$A, "&gt;="&amp;DATE(2026,7,1), Transaction_Log!$A:$A, "&lt;="&amp;DATE(2026,7,31))</f>
        <v>0</v>
      </c>
      <c r="J27" s="96">
        <f>SUMIFS(Transaction_Log!$C:$C, Transaction_Log!$B:$B, $A27, Transaction_Log!$A:$A, "&gt;="&amp;DATE(2026,8,1), Transaction_Log!$A:$A, "&lt;="&amp;DATE(2026,8,31))</f>
        <v>0</v>
      </c>
      <c r="K27" s="96">
        <f>SUMIFS(Transaction_Log!$C:$C, Transaction_Log!$B:$B, $A27, Transaction_Log!$A:$A, "&gt;="&amp;DATE(2026,9,1), Transaction_Log!$A:$A, "&lt;="&amp;DATE(2026,9,30))</f>
        <v>0</v>
      </c>
      <c r="L27" s="96">
        <f>SUMIFS(Transaction_Log!$C:$C, Transaction_Log!$B:$B, $A27, Transaction_Log!$A:$A, "&gt;="&amp;DATE(2026,10,1), Transaction_Log!$A:$A, "&lt;="&amp;DATE(2026,10,31))</f>
        <v>0</v>
      </c>
      <c r="M27" s="96">
        <f>SUMIFS(Transaction_Log!$C:$C, Transaction_Log!$B:$B, $A27, Transaction_Log!$A:$A, "&gt;="&amp;DATE(2026,11,1), Transaction_Log!$A:$A, "&lt;="&amp;DATE(2026,11,30))</f>
        <v>0</v>
      </c>
      <c r="N27" s="96">
        <f>SUMIFS(Transaction_Log!$C:$C, Transaction_Log!$B:$B, $A27, Transaction_Log!$A:$A, "&gt;="&amp;DATE(2026,12,1), Transaction_Log!$A:$A, "&lt;="&amp;DATE(2026,12,31))</f>
        <v>0</v>
      </c>
      <c r="O27" s="102">
        <f t="shared" si="0"/>
        <v>13500</v>
      </c>
      <c r="P27" s="99">
        <f>+DashBoard!D26</f>
        <v>3000</v>
      </c>
    </row>
    <row r="28" spans="1:16" ht="15.75" customHeight="1" x14ac:dyDescent="0.2">
      <c r="A28" s="79" t="s">
        <v>79</v>
      </c>
      <c r="B28" s="77" t="str">
        <f>VLOOKUP($A28,Owner_Master!$A:$B,2,FALSE)</f>
        <v>Sudhakar &amp; Dhanya</v>
      </c>
      <c r="C28" s="78">
        <f>SUMIFS(Transaction_Log!$C:$C, Transaction_Log!$B:$B, $A28, Transaction_Log!$A:$A, "&gt;="&amp;DATE(2026,1,1), Transaction_Log!$A:$A, "&lt;="&amp;DATE(2026,1,31))</f>
        <v>0</v>
      </c>
      <c r="D28" s="78">
        <f>SUMIFS(Transaction_Log!$C:$C, Transaction_Log!$B:$B, $A28, Transaction_Log!$A:$A, "&gt;="&amp;DATE(2026,2,1), Transaction_Log!$A:$A, "&lt;="&amp;DATE(2026,2,28))</f>
        <v>0</v>
      </c>
      <c r="E28" s="78">
        <f>SUMIFS(Transaction_Log!$C:$C, Transaction_Log!$B:$B, $A28, Transaction_Log!$A:$A, "&gt;="&amp;DATE(2026,3,1), Transaction_Log!$A:$A, "&lt;="&amp;DATE(2026,3,31))</f>
        <v>0</v>
      </c>
      <c r="F28" s="78">
        <f>SUMIFS(Transaction_Log!$C:$C, Transaction_Log!$B:$B, $A28, Transaction_Log!$A:$A, "&gt;="&amp;DATE(2026,4,1), Transaction_Log!$A:$A, "&lt;="&amp;DATE(2026,4,30))</f>
        <v>0</v>
      </c>
      <c r="G28" s="78">
        <f>SUMIFS(Transaction_Log!$C:$C, Transaction_Log!$B:$B, $A28, Transaction_Log!$A:$A, "&gt;="&amp;DATE(2026,5,1), Transaction_Log!$A:$A, "&lt;="&amp;DATE(2026,5,31))</f>
        <v>22500</v>
      </c>
      <c r="H28" s="96">
        <f>SUMIFS(Transaction_Log!$C:$C, Transaction_Log!$B:$B, $A28, Transaction_Log!$A:$A, "&gt;="&amp;DATE(2026,6,1), Transaction_Log!$A:$A, "&lt;="&amp;DATE(2026,6,30))</f>
        <v>0</v>
      </c>
      <c r="I28" s="96">
        <f>SUMIFS(Transaction_Log!$C:$C, Transaction_Log!$B:$B, $A28, Transaction_Log!$A:$A, "&gt;="&amp;DATE(2026,7,1), Transaction_Log!$A:$A, "&lt;="&amp;DATE(2026,7,31))</f>
        <v>0</v>
      </c>
      <c r="J28" s="96">
        <f>SUMIFS(Transaction_Log!$C:$C, Transaction_Log!$B:$B, $A28, Transaction_Log!$A:$A, "&gt;="&amp;DATE(2026,8,1), Transaction_Log!$A:$A, "&lt;="&amp;DATE(2026,8,31))</f>
        <v>0</v>
      </c>
      <c r="K28" s="96">
        <f>SUMIFS(Transaction_Log!$C:$C, Transaction_Log!$B:$B, $A28, Transaction_Log!$A:$A, "&gt;="&amp;DATE(2026,9,1), Transaction_Log!$A:$A, "&lt;="&amp;DATE(2026,9,30))</f>
        <v>0</v>
      </c>
      <c r="L28" s="96">
        <f>SUMIFS(Transaction_Log!$C:$C, Transaction_Log!$B:$B, $A28, Transaction_Log!$A:$A, "&gt;="&amp;DATE(2026,10,1), Transaction_Log!$A:$A, "&lt;="&amp;DATE(2026,10,31))</f>
        <v>0</v>
      </c>
      <c r="M28" s="96">
        <f>SUMIFS(Transaction_Log!$C:$C, Transaction_Log!$B:$B, $A28, Transaction_Log!$A:$A, "&gt;="&amp;DATE(2026,11,1), Transaction_Log!$A:$A, "&lt;="&amp;DATE(2026,11,30))</f>
        <v>0</v>
      </c>
      <c r="N28" s="96">
        <f>SUMIFS(Transaction_Log!$C:$C, Transaction_Log!$B:$B, $A28, Transaction_Log!$A:$A, "&gt;="&amp;DATE(2026,12,1), Transaction_Log!$A:$A, "&lt;="&amp;DATE(2026,12,31))</f>
        <v>0</v>
      </c>
      <c r="O28" s="102">
        <f t="shared" si="0"/>
        <v>22500</v>
      </c>
      <c r="P28" s="99">
        <f>+DashBoard!D27</f>
        <v>3000</v>
      </c>
    </row>
    <row r="29" spans="1:16" ht="15.75" customHeight="1" x14ac:dyDescent="0.2">
      <c r="A29" s="79" t="s">
        <v>94</v>
      </c>
      <c r="B29" s="77" t="str">
        <f>VLOOKUP($A29,Owner_Master!$A:$B,2,FALSE)</f>
        <v>K.Thanikai Arasu</v>
      </c>
      <c r="C29" s="78">
        <f>SUMIFS(Transaction_Log!$C:$C, Transaction_Log!$B:$B, $A29, Transaction_Log!$A:$A, "&gt;="&amp;DATE(2026,1,1), Transaction_Log!$A:$A, "&lt;="&amp;DATE(2026,1,31))</f>
        <v>1500</v>
      </c>
      <c r="D29" s="78">
        <f>SUMIFS(Transaction_Log!$C:$C, Transaction_Log!$B:$B, $A29, Transaction_Log!$A:$A, "&gt;="&amp;DATE(2026,2,1), Transaction_Log!$A:$A, "&lt;="&amp;DATE(2026,2,28))</f>
        <v>1500</v>
      </c>
      <c r="E29" s="78">
        <f>SUMIFS(Transaction_Log!$C:$C, Transaction_Log!$B:$B, $A29, Transaction_Log!$A:$A, "&gt;="&amp;DATE(2026,3,1), Transaction_Log!$A:$A, "&lt;="&amp;DATE(2026,3,31))</f>
        <v>1500</v>
      </c>
      <c r="F29" s="78">
        <f>SUMIFS(Transaction_Log!$C:$C, Transaction_Log!$B:$B, $A29, Transaction_Log!$A:$A, "&gt;="&amp;DATE(2026,4,1), Transaction_Log!$A:$A, "&lt;="&amp;DATE(2026,4,30))</f>
        <v>0</v>
      </c>
      <c r="G29" s="78">
        <f>SUMIFS(Transaction_Log!$C:$C, Transaction_Log!$B:$B, $A29, Transaction_Log!$A:$A, "&gt;="&amp;DATE(2026,5,1), Transaction_Log!$A:$A, "&lt;="&amp;DATE(2026,5,31))</f>
        <v>0</v>
      </c>
      <c r="H29" s="96">
        <f>SUMIFS(Transaction_Log!$C:$C, Transaction_Log!$B:$B, $A29, Transaction_Log!$A:$A, "&gt;="&amp;DATE(2026,6,1), Transaction_Log!$A:$A, "&lt;="&amp;DATE(2026,6,30))</f>
        <v>0</v>
      </c>
      <c r="I29" s="96">
        <f>SUMIFS(Transaction_Log!$C:$C, Transaction_Log!$B:$B, $A29, Transaction_Log!$A:$A, "&gt;="&amp;DATE(2026,7,1), Transaction_Log!$A:$A, "&lt;="&amp;DATE(2026,7,31))</f>
        <v>0</v>
      </c>
      <c r="J29" s="96">
        <f>SUMIFS(Transaction_Log!$C:$C, Transaction_Log!$B:$B, $A29, Transaction_Log!$A:$A, "&gt;="&amp;DATE(2026,8,1), Transaction_Log!$A:$A, "&lt;="&amp;DATE(2026,8,31))</f>
        <v>0</v>
      </c>
      <c r="K29" s="96">
        <f>SUMIFS(Transaction_Log!$C:$C, Transaction_Log!$B:$B, $A29, Transaction_Log!$A:$A, "&gt;="&amp;DATE(2026,9,1), Transaction_Log!$A:$A, "&lt;="&amp;DATE(2026,9,30))</f>
        <v>0</v>
      </c>
      <c r="L29" s="96">
        <f>SUMIFS(Transaction_Log!$C:$C, Transaction_Log!$B:$B, $A29, Transaction_Log!$A:$A, "&gt;="&amp;DATE(2026,10,1), Transaction_Log!$A:$A, "&lt;="&amp;DATE(2026,10,31))</f>
        <v>0</v>
      </c>
      <c r="M29" s="96">
        <f>SUMIFS(Transaction_Log!$C:$C, Transaction_Log!$B:$B, $A29, Transaction_Log!$A:$A, "&gt;="&amp;DATE(2026,11,1), Transaction_Log!$A:$A, "&lt;="&amp;DATE(2026,11,30))</f>
        <v>0</v>
      </c>
      <c r="N29" s="96">
        <f>SUMIFS(Transaction_Log!$C:$C, Transaction_Log!$B:$B, $A29, Transaction_Log!$A:$A, "&gt;="&amp;DATE(2026,12,1), Transaction_Log!$A:$A, "&lt;="&amp;DATE(2026,12,31))</f>
        <v>0</v>
      </c>
      <c r="O29" s="102">
        <f t="shared" si="0"/>
        <v>4500</v>
      </c>
      <c r="P29" s="99">
        <f>+DashBoard!D28</f>
        <v>44000</v>
      </c>
    </row>
    <row r="30" spans="1:16" ht="15.75" customHeight="1" x14ac:dyDescent="0.2">
      <c r="A30" s="79" t="s">
        <v>19</v>
      </c>
      <c r="B30" s="77" t="str">
        <f>VLOOKUP($A30,Owner_Master!$A:$B,2,FALSE)</f>
        <v xml:space="preserve">Bhagath </v>
      </c>
      <c r="C30" s="78">
        <f>SUMIFS(Transaction_Log!$C:$C, Transaction_Log!$B:$B, $A30, Transaction_Log!$A:$A, "&gt;="&amp;DATE(2026,1,1), Transaction_Log!$A:$A, "&lt;="&amp;DATE(2026,1,31))</f>
        <v>1500</v>
      </c>
      <c r="D30" s="78">
        <f>SUMIFS(Transaction_Log!$C:$C, Transaction_Log!$B:$B, $A30, Transaction_Log!$A:$A, "&gt;="&amp;DATE(2026,2,1), Transaction_Log!$A:$A, "&lt;="&amp;DATE(2026,2,28))</f>
        <v>1500</v>
      </c>
      <c r="E30" s="78">
        <f>SUMIFS(Transaction_Log!$C:$C, Transaction_Log!$B:$B, $A30, Transaction_Log!$A:$A, "&gt;="&amp;DATE(2026,3,1), Transaction_Log!$A:$A, "&lt;="&amp;DATE(2026,3,31))</f>
        <v>1500</v>
      </c>
      <c r="F30" s="78">
        <f>SUMIFS(Transaction_Log!$C:$C, Transaction_Log!$B:$B, $A30, Transaction_Log!$A:$A, "&gt;="&amp;DATE(2026,4,1), Transaction_Log!$A:$A, "&lt;="&amp;DATE(2026,4,30))</f>
        <v>1500</v>
      </c>
      <c r="G30" s="78">
        <f>SUMIFS(Transaction_Log!$C:$C, Transaction_Log!$B:$B, $A30, Transaction_Log!$A:$A, "&gt;="&amp;DATE(2026,5,1), Transaction_Log!$A:$A, "&lt;="&amp;DATE(2026,5,31))</f>
        <v>0</v>
      </c>
      <c r="H30" s="96">
        <f>SUMIFS(Transaction_Log!$C:$C, Transaction_Log!$B:$B, $A30, Transaction_Log!$A:$A, "&gt;="&amp;DATE(2026,6,1), Transaction_Log!$A:$A, "&lt;="&amp;DATE(2026,6,30))</f>
        <v>0</v>
      </c>
      <c r="I30" s="96">
        <f>SUMIFS(Transaction_Log!$C:$C, Transaction_Log!$B:$B, $A30, Transaction_Log!$A:$A, "&gt;="&amp;DATE(2026,7,1), Transaction_Log!$A:$A, "&lt;="&amp;DATE(2026,7,31))</f>
        <v>0</v>
      </c>
      <c r="J30" s="96">
        <f>SUMIFS(Transaction_Log!$C:$C, Transaction_Log!$B:$B, $A30, Transaction_Log!$A:$A, "&gt;="&amp;DATE(2026,8,1), Transaction_Log!$A:$A, "&lt;="&amp;DATE(2026,8,31))</f>
        <v>0</v>
      </c>
      <c r="K30" s="96">
        <f>SUMIFS(Transaction_Log!$C:$C, Transaction_Log!$B:$B, $A30, Transaction_Log!$A:$A, "&gt;="&amp;DATE(2026,9,1), Transaction_Log!$A:$A, "&lt;="&amp;DATE(2026,9,30))</f>
        <v>0</v>
      </c>
      <c r="L30" s="96">
        <f>SUMIFS(Transaction_Log!$C:$C, Transaction_Log!$B:$B, $A30, Transaction_Log!$A:$A, "&gt;="&amp;DATE(2026,10,1), Transaction_Log!$A:$A, "&lt;="&amp;DATE(2026,10,31))</f>
        <v>0</v>
      </c>
      <c r="M30" s="96">
        <f>SUMIFS(Transaction_Log!$C:$C, Transaction_Log!$B:$B, $A30, Transaction_Log!$A:$A, "&gt;="&amp;DATE(2026,11,1), Transaction_Log!$A:$A, "&lt;="&amp;DATE(2026,11,30))</f>
        <v>0</v>
      </c>
      <c r="N30" s="96">
        <f>SUMIFS(Transaction_Log!$C:$C, Transaction_Log!$B:$B, $A30, Transaction_Log!$A:$A, "&gt;="&amp;DATE(2026,12,1), Transaction_Log!$A:$A, "&lt;="&amp;DATE(2026,12,31))</f>
        <v>0</v>
      </c>
      <c r="O30" s="102">
        <f t="shared" si="0"/>
        <v>6000</v>
      </c>
      <c r="P30" s="99">
        <f>+DashBoard!D29</f>
        <v>1500</v>
      </c>
    </row>
    <row r="31" spans="1:16" ht="15" customHeight="1" x14ac:dyDescent="0.2">
      <c r="A31" s="79" t="s">
        <v>57</v>
      </c>
      <c r="B31" s="77" t="str">
        <f>VLOOKUP($A31,Owner_Master!$A:$B,2,FALSE)</f>
        <v>Manikandan Kumar  &amp; Rakeshwari</v>
      </c>
      <c r="C31" s="78">
        <f>SUMIFS(Transaction_Log!$C:$C, Transaction_Log!$B:$B, $A31, Transaction_Log!$A:$A, "&gt;="&amp;DATE(2026,1,1), Transaction_Log!$A:$A, "&lt;="&amp;DATE(2026,1,31))</f>
        <v>4500</v>
      </c>
      <c r="D31" s="78">
        <f>SUMIFS(Transaction_Log!$C:$C, Transaction_Log!$B:$B, $A31, Transaction_Log!$A:$A, "&gt;="&amp;DATE(2026,2,1), Transaction_Log!$A:$A, "&lt;="&amp;DATE(2026,2,28))</f>
        <v>4500</v>
      </c>
      <c r="E31" s="78">
        <f>SUMIFS(Transaction_Log!$C:$C, Transaction_Log!$B:$B, $A31, Transaction_Log!$A:$A, "&gt;="&amp;DATE(2026,3,1), Transaction_Log!$A:$A, "&lt;="&amp;DATE(2026,3,31))</f>
        <v>1500</v>
      </c>
      <c r="F31" s="78">
        <f>SUMIFS(Transaction_Log!$C:$C, Transaction_Log!$B:$B, $A31, Transaction_Log!$A:$A, "&gt;="&amp;DATE(2026,4,1), Transaction_Log!$A:$A, "&lt;="&amp;DATE(2026,4,30))</f>
        <v>1500</v>
      </c>
      <c r="G31" s="78">
        <f>SUMIFS(Transaction_Log!$C:$C, Transaction_Log!$B:$B, $A31, Transaction_Log!$A:$A, "&gt;="&amp;DATE(2026,5,1), Transaction_Log!$A:$A, "&lt;="&amp;DATE(2026,5,31))</f>
        <v>0</v>
      </c>
      <c r="H31" s="96">
        <f>SUMIFS(Transaction_Log!$C:$C, Transaction_Log!$B:$B, $A31, Transaction_Log!$A:$A, "&gt;="&amp;DATE(2026,6,1), Transaction_Log!$A:$A, "&lt;="&amp;DATE(2026,6,30))</f>
        <v>0</v>
      </c>
      <c r="I31" s="96">
        <f>SUMIFS(Transaction_Log!$C:$C, Transaction_Log!$B:$B, $A31, Transaction_Log!$A:$A, "&gt;="&amp;DATE(2026,7,1), Transaction_Log!$A:$A, "&lt;="&amp;DATE(2026,7,31))</f>
        <v>0</v>
      </c>
      <c r="J31" s="96">
        <f>SUMIFS(Transaction_Log!$C:$C, Transaction_Log!$B:$B, $A31, Transaction_Log!$A:$A, "&gt;="&amp;DATE(2026,8,1), Transaction_Log!$A:$A, "&lt;="&amp;DATE(2026,8,31))</f>
        <v>0</v>
      </c>
      <c r="K31" s="96">
        <f>SUMIFS(Transaction_Log!$C:$C, Transaction_Log!$B:$B, $A31, Transaction_Log!$A:$A, "&gt;="&amp;DATE(2026,9,1), Transaction_Log!$A:$A, "&lt;="&amp;DATE(2026,9,30))</f>
        <v>0</v>
      </c>
      <c r="L31" s="96">
        <f>SUMIFS(Transaction_Log!$C:$C, Transaction_Log!$B:$B, $A31, Transaction_Log!$A:$A, "&gt;="&amp;DATE(2026,10,1), Transaction_Log!$A:$A, "&lt;="&amp;DATE(2026,10,31))</f>
        <v>0</v>
      </c>
      <c r="M31" s="96">
        <f>SUMIFS(Transaction_Log!$C:$C, Transaction_Log!$B:$B, $A31, Transaction_Log!$A:$A, "&gt;="&amp;DATE(2026,11,1), Transaction_Log!$A:$A, "&lt;="&amp;DATE(2026,11,30))</f>
        <v>0</v>
      </c>
      <c r="N31" s="96">
        <f>SUMIFS(Transaction_Log!$C:$C, Transaction_Log!$B:$B, $A31, Transaction_Log!$A:$A, "&gt;="&amp;DATE(2026,12,1), Transaction_Log!$A:$A, "&lt;="&amp;DATE(2026,12,31))</f>
        <v>0</v>
      </c>
      <c r="O31" s="102">
        <f t="shared" si="0"/>
        <v>12000</v>
      </c>
      <c r="P31" s="99">
        <f>+DashBoard!D30</f>
        <v>1500</v>
      </c>
    </row>
    <row r="32" spans="1:16" ht="15.75" customHeight="1" x14ac:dyDescent="0.2">
      <c r="A32" s="79" t="s">
        <v>21</v>
      </c>
      <c r="B32" s="77" t="str">
        <f>VLOOKUP($A32,Owner_Master!$A:$B,2,FALSE)</f>
        <v>G.Dachinamoorthy &amp; Pinky Moorthy &amp; DP Mohit</v>
      </c>
      <c r="C32" s="78">
        <f>SUMIFS(Transaction_Log!$C:$C, Transaction_Log!$B:$B, $A32, Transaction_Log!$A:$A, "&gt;="&amp;DATE(2026,1,1), Transaction_Log!$A:$A, "&lt;="&amp;DATE(2026,1,31))</f>
        <v>0</v>
      </c>
      <c r="D32" s="78">
        <f>SUMIFS(Transaction_Log!$C:$C, Transaction_Log!$B:$B, $A32, Transaction_Log!$A:$A, "&gt;="&amp;DATE(2026,2,1), Transaction_Log!$A:$A, "&lt;="&amp;DATE(2026,2,28))</f>
        <v>0</v>
      </c>
      <c r="E32" s="78">
        <f>SUMIFS(Transaction_Log!$C:$C, Transaction_Log!$B:$B, $A32, Transaction_Log!$A:$A, "&gt;="&amp;DATE(2026,3,1), Transaction_Log!$A:$A, "&lt;="&amp;DATE(2026,3,31))</f>
        <v>3000</v>
      </c>
      <c r="F32" s="78">
        <f>SUMIFS(Transaction_Log!$C:$C, Transaction_Log!$B:$B, $A32, Transaction_Log!$A:$A, "&gt;="&amp;DATE(2026,4,1), Transaction_Log!$A:$A, "&lt;="&amp;DATE(2026,4,30))</f>
        <v>0</v>
      </c>
      <c r="G32" s="78">
        <f>SUMIFS(Transaction_Log!$C:$C, Transaction_Log!$B:$B, $A32, Transaction_Log!$A:$A, "&gt;="&amp;DATE(2026,5,1), Transaction_Log!$A:$A, "&lt;="&amp;DATE(2026,5,31))</f>
        <v>1500</v>
      </c>
      <c r="H32" s="96">
        <f>SUMIFS(Transaction_Log!$C:$C, Transaction_Log!$B:$B, $A32, Transaction_Log!$A:$A, "&gt;="&amp;DATE(2026,6,1), Transaction_Log!$A:$A, "&lt;="&amp;DATE(2026,6,30))</f>
        <v>0</v>
      </c>
      <c r="I32" s="96">
        <f>SUMIFS(Transaction_Log!$C:$C, Transaction_Log!$B:$B, $A32, Transaction_Log!$A:$A, "&gt;="&amp;DATE(2026,7,1), Transaction_Log!$A:$A, "&lt;="&amp;DATE(2026,7,31))</f>
        <v>0</v>
      </c>
      <c r="J32" s="96">
        <f>SUMIFS(Transaction_Log!$C:$C, Transaction_Log!$B:$B, $A32, Transaction_Log!$A:$A, "&gt;="&amp;DATE(2026,8,1), Transaction_Log!$A:$A, "&lt;="&amp;DATE(2026,8,31))</f>
        <v>0</v>
      </c>
      <c r="K32" s="96">
        <f>SUMIFS(Transaction_Log!$C:$C, Transaction_Log!$B:$B, $A32, Transaction_Log!$A:$A, "&gt;="&amp;DATE(2026,9,1), Transaction_Log!$A:$A, "&lt;="&amp;DATE(2026,9,30))</f>
        <v>0</v>
      </c>
      <c r="L32" s="96">
        <f>SUMIFS(Transaction_Log!$C:$C, Transaction_Log!$B:$B, $A32, Transaction_Log!$A:$A, "&gt;="&amp;DATE(2026,10,1), Transaction_Log!$A:$A, "&lt;="&amp;DATE(2026,10,31))</f>
        <v>0</v>
      </c>
      <c r="M32" s="96">
        <f>SUMIFS(Transaction_Log!$C:$C, Transaction_Log!$B:$B, $A32, Transaction_Log!$A:$A, "&gt;="&amp;DATE(2026,11,1), Transaction_Log!$A:$A, "&lt;="&amp;DATE(2026,11,30))</f>
        <v>0</v>
      </c>
      <c r="N32" s="96">
        <f>SUMIFS(Transaction_Log!$C:$C, Transaction_Log!$B:$B, $A32, Transaction_Log!$A:$A, "&gt;="&amp;DATE(2026,12,1), Transaction_Log!$A:$A, "&lt;="&amp;DATE(2026,12,31))</f>
        <v>0</v>
      </c>
      <c r="O32" s="102">
        <f t="shared" si="0"/>
        <v>4500</v>
      </c>
      <c r="P32" s="99">
        <f>+DashBoard!D31</f>
        <v>3000</v>
      </c>
    </row>
    <row r="33" spans="1:16" ht="15.75" customHeight="1" x14ac:dyDescent="0.2">
      <c r="A33" s="79" t="s">
        <v>23</v>
      </c>
      <c r="B33" s="77" t="str">
        <f>VLOOKUP($A33,Owner_Master!$A:$B,2,FALSE)</f>
        <v>Raja &amp; Chitra</v>
      </c>
      <c r="C33" s="78">
        <f>SUMIFS(Transaction_Log!$C:$C, Transaction_Log!$B:$B, $A33, Transaction_Log!$A:$A, "&gt;="&amp;DATE(2026,1,1), Transaction_Log!$A:$A, "&lt;="&amp;DATE(2026,1,31))</f>
        <v>0</v>
      </c>
      <c r="D33" s="78">
        <f>SUMIFS(Transaction_Log!$C:$C, Transaction_Log!$B:$B, $A33, Transaction_Log!$A:$A, "&gt;="&amp;DATE(2026,2,1), Transaction_Log!$A:$A, "&lt;="&amp;DATE(2026,2,28))</f>
        <v>1500</v>
      </c>
      <c r="E33" s="78">
        <f>SUMIFS(Transaction_Log!$C:$C, Transaction_Log!$B:$B, $A33, Transaction_Log!$A:$A, "&gt;="&amp;DATE(2026,3,1), Transaction_Log!$A:$A, "&lt;="&amp;DATE(2026,3,31))</f>
        <v>0</v>
      </c>
      <c r="F33" s="78">
        <f>SUMIFS(Transaction_Log!$C:$C, Transaction_Log!$B:$B, $A33, Transaction_Log!$A:$A, "&gt;="&amp;DATE(2026,4,1), Transaction_Log!$A:$A, "&lt;="&amp;DATE(2026,4,30))</f>
        <v>3000</v>
      </c>
      <c r="G33" s="78">
        <f>SUMIFS(Transaction_Log!$C:$C, Transaction_Log!$B:$B, $A33, Transaction_Log!$A:$A, "&gt;="&amp;DATE(2026,5,1), Transaction_Log!$A:$A, "&lt;="&amp;DATE(2026,5,31))</f>
        <v>3000</v>
      </c>
      <c r="H33" s="96">
        <f>SUMIFS(Transaction_Log!$C:$C, Transaction_Log!$B:$B, $A33, Transaction_Log!$A:$A, "&gt;="&amp;DATE(2026,6,1), Transaction_Log!$A:$A, "&lt;="&amp;DATE(2026,6,30))</f>
        <v>0</v>
      </c>
      <c r="I33" s="96">
        <f>SUMIFS(Transaction_Log!$C:$C, Transaction_Log!$B:$B, $A33, Transaction_Log!$A:$A, "&gt;="&amp;DATE(2026,7,1), Transaction_Log!$A:$A, "&lt;="&amp;DATE(2026,7,31))</f>
        <v>0</v>
      </c>
      <c r="J33" s="96">
        <f>SUMIFS(Transaction_Log!$C:$C, Transaction_Log!$B:$B, $A33, Transaction_Log!$A:$A, "&gt;="&amp;DATE(2026,8,1), Transaction_Log!$A:$A, "&lt;="&amp;DATE(2026,8,31))</f>
        <v>0</v>
      </c>
      <c r="K33" s="96">
        <f>SUMIFS(Transaction_Log!$C:$C, Transaction_Log!$B:$B, $A33, Transaction_Log!$A:$A, "&gt;="&amp;DATE(2026,9,1), Transaction_Log!$A:$A, "&lt;="&amp;DATE(2026,9,30))</f>
        <v>0</v>
      </c>
      <c r="L33" s="96">
        <f>SUMIFS(Transaction_Log!$C:$C, Transaction_Log!$B:$B, $A33, Transaction_Log!$A:$A, "&gt;="&amp;DATE(2026,10,1), Transaction_Log!$A:$A, "&lt;="&amp;DATE(2026,10,31))</f>
        <v>0</v>
      </c>
      <c r="M33" s="96">
        <f>SUMIFS(Transaction_Log!$C:$C, Transaction_Log!$B:$B, $A33, Transaction_Log!$A:$A, "&gt;="&amp;DATE(2026,11,1), Transaction_Log!$A:$A, "&lt;="&amp;DATE(2026,11,30))</f>
        <v>0</v>
      </c>
      <c r="N33" s="96">
        <f>SUMIFS(Transaction_Log!$C:$C, Transaction_Log!$B:$B, $A33, Transaction_Log!$A:$A, "&gt;="&amp;DATE(2026,12,1), Transaction_Log!$A:$A, "&lt;="&amp;DATE(2026,12,31))</f>
        <v>0</v>
      </c>
      <c r="O33" s="102">
        <f t="shared" si="0"/>
        <v>7500</v>
      </c>
      <c r="P33" s="99">
        <f>+DashBoard!D32</f>
        <v>0</v>
      </c>
    </row>
    <row r="34" spans="1:16" ht="15.75" customHeight="1" x14ac:dyDescent="0.2">
      <c r="A34" s="79" t="s">
        <v>25</v>
      </c>
      <c r="B34" s="77" t="str">
        <f>VLOOKUP($A34,Owner_Master!$A:$B,2,FALSE)</f>
        <v xml:space="preserve">Sivaramakrishnan </v>
      </c>
      <c r="C34" s="78">
        <f>SUMIFS(Transaction_Log!$C:$C, Transaction_Log!$B:$B, $A34, Transaction_Log!$A:$A, "&gt;="&amp;DATE(2026,1,1), Transaction_Log!$A:$A, "&lt;="&amp;DATE(2026,1,31))</f>
        <v>0</v>
      </c>
      <c r="D34" s="78">
        <f>SUMIFS(Transaction_Log!$C:$C, Transaction_Log!$B:$B, $A34, Transaction_Log!$A:$A, "&gt;="&amp;DATE(2026,2,1), Transaction_Log!$A:$A, "&lt;="&amp;DATE(2026,2,28))</f>
        <v>0</v>
      </c>
      <c r="E34" s="78">
        <f>SUMIFS(Transaction_Log!$C:$C, Transaction_Log!$B:$B, $A34, Transaction_Log!$A:$A, "&gt;="&amp;DATE(2026,3,1), Transaction_Log!$A:$A, "&lt;="&amp;DATE(2026,3,31))</f>
        <v>4500</v>
      </c>
      <c r="F34" s="78">
        <f>SUMIFS(Transaction_Log!$C:$C, Transaction_Log!$B:$B, $A34, Transaction_Log!$A:$A, "&gt;="&amp;DATE(2026,4,1), Transaction_Log!$A:$A, "&lt;="&amp;DATE(2026,4,30))</f>
        <v>0</v>
      </c>
      <c r="G34" s="78">
        <f>SUMIFS(Transaction_Log!$C:$C, Transaction_Log!$B:$B, $A34, Transaction_Log!$A:$A, "&gt;="&amp;DATE(2026,5,1), Transaction_Log!$A:$A, "&lt;="&amp;DATE(2026,5,31))</f>
        <v>0</v>
      </c>
      <c r="H34" s="96">
        <f>SUMIFS(Transaction_Log!$C:$C, Transaction_Log!$B:$B, $A34, Transaction_Log!$A:$A, "&gt;="&amp;DATE(2026,6,1), Transaction_Log!$A:$A, "&lt;="&amp;DATE(2026,6,30))</f>
        <v>0</v>
      </c>
      <c r="I34" s="96">
        <f>SUMIFS(Transaction_Log!$C:$C, Transaction_Log!$B:$B, $A34, Transaction_Log!$A:$A, "&gt;="&amp;DATE(2026,7,1), Transaction_Log!$A:$A, "&lt;="&amp;DATE(2026,7,31))</f>
        <v>0</v>
      </c>
      <c r="J34" s="96">
        <f>SUMIFS(Transaction_Log!$C:$C, Transaction_Log!$B:$B, $A34, Transaction_Log!$A:$A, "&gt;="&amp;DATE(2026,8,1), Transaction_Log!$A:$A, "&lt;="&amp;DATE(2026,8,31))</f>
        <v>0</v>
      </c>
      <c r="K34" s="96">
        <f>SUMIFS(Transaction_Log!$C:$C, Transaction_Log!$B:$B, $A34, Transaction_Log!$A:$A, "&gt;="&amp;DATE(2026,9,1), Transaction_Log!$A:$A, "&lt;="&amp;DATE(2026,9,30))</f>
        <v>0</v>
      </c>
      <c r="L34" s="96">
        <f>SUMIFS(Transaction_Log!$C:$C, Transaction_Log!$B:$B, $A34, Transaction_Log!$A:$A, "&gt;="&amp;DATE(2026,10,1), Transaction_Log!$A:$A, "&lt;="&amp;DATE(2026,10,31))</f>
        <v>0</v>
      </c>
      <c r="M34" s="96">
        <f>SUMIFS(Transaction_Log!$C:$C, Transaction_Log!$B:$B, $A34, Transaction_Log!$A:$A, "&gt;="&amp;DATE(2026,11,1), Transaction_Log!$A:$A, "&lt;="&amp;DATE(2026,11,30))</f>
        <v>0</v>
      </c>
      <c r="N34" s="96">
        <f>SUMIFS(Transaction_Log!$C:$C, Transaction_Log!$B:$B, $A34, Transaction_Log!$A:$A, "&gt;="&amp;DATE(2026,12,1), Transaction_Log!$A:$A, "&lt;="&amp;DATE(2026,12,31))</f>
        <v>0</v>
      </c>
      <c r="O34" s="102">
        <f t="shared" si="0"/>
        <v>4500</v>
      </c>
      <c r="P34" s="99">
        <f>+DashBoard!D33</f>
        <v>3000</v>
      </c>
    </row>
    <row r="35" spans="1:16" ht="15.75" customHeight="1" x14ac:dyDescent="0.2">
      <c r="A35" s="79" t="s">
        <v>59</v>
      </c>
      <c r="B35" s="77" t="str">
        <f>VLOOKUP($A35,Owner_Master!$A:$B,2,FALSE)</f>
        <v xml:space="preserve">N.Muthu Sivasakthi &amp; G.Meera </v>
      </c>
      <c r="C35" s="78">
        <f>SUMIFS(Transaction_Log!$C:$C, Transaction_Log!$B:$B, $A35, Transaction_Log!$A:$A, "&gt;="&amp;DATE(2026,1,1), Transaction_Log!$A:$A, "&lt;="&amp;DATE(2026,1,31))</f>
        <v>0</v>
      </c>
      <c r="D35" s="78">
        <f>SUMIFS(Transaction_Log!$C:$C, Transaction_Log!$B:$B, $A35, Transaction_Log!$A:$A, "&gt;="&amp;DATE(2026,2,1), Transaction_Log!$A:$A, "&lt;="&amp;DATE(2026,2,28))</f>
        <v>4500</v>
      </c>
      <c r="E35" s="78">
        <f>SUMIFS(Transaction_Log!$C:$C, Transaction_Log!$B:$B, $A35, Transaction_Log!$A:$A, "&gt;="&amp;DATE(2026,3,1), Transaction_Log!$A:$A, "&lt;="&amp;DATE(2026,3,31))</f>
        <v>1500</v>
      </c>
      <c r="F35" s="78">
        <f>SUMIFS(Transaction_Log!$C:$C, Transaction_Log!$B:$B, $A35, Transaction_Log!$A:$A, "&gt;="&amp;DATE(2026,4,1), Transaction_Log!$A:$A, "&lt;="&amp;DATE(2026,4,30))</f>
        <v>1500</v>
      </c>
      <c r="G35" s="78">
        <f>SUMIFS(Transaction_Log!$C:$C, Transaction_Log!$B:$B, $A35, Transaction_Log!$A:$A, "&gt;="&amp;DATE(2026,5,1), Transaction_Log!$A:$A, "&lt;="&amp;DATE(2026,5,31))</f>
        <v>6000</v>
      </c>
      <c r="H35" s="96">
        <f>SUMIFS(Transaction_Log!$C:$C, Transaction_Log!$B:$B, $A35, Transaction_Log!$A:$A, "&gt;="&amp;DATE(2026,6,1), Transaction_Log!$A:$A, "&lt;="&amp;DATE(2026,6,30))</f>
        <v>0</v>
      </c>
      <c r="I35" s="96">
        <f>SUMIFS(Transaction_Log!$C:$C, Transaction_Log!$B:$B, $A35, Transaction_Log!$A:$A, "&gt;="&amp;DATE(2026,7,1), Transaction_Log!$A:$A, "&lt;="&amp;DATE(2026,7,31))</f>
        <v>0</v>
      </c>
      <c r="J35" s="96">
        <f>SUMIFS(Transaction_Log!$C:$C, Transaction_Log!$B:$B, $A35, Transaction_Log!$A:$A, "&gt;="&amp;DATE(2026,8,1), Transaction_Log!$A:$A, "&lt;="&amp;DATE(2026,8,31))</f>
        <v>0</v>
      </c>
      <c r="K35" s="96">
        <f>SUMIFS(Transaction_Log!$C:$C, Transaction_Log!$B:$B, $A35, Transaction_Log!$A:$A, "&gt;="&amp;DATE(2026,9,1), Transaction_Log!$A:$A, "&lt;="&amp;DATE(2026,9,30))</f>
        <v>0</v>
      </c>
      <c r="L35" s="96">
        <f>SUMIFS(Transaction_Log!$C:$C, Transaction_Log!$B:$B, $A35, Transaction_Log!$A:$A, "&gt;="&amp;DATE(2026,10,1), Transaction_Log!$A:$A, "&lt;="&amp;DATE(2026,10,31))</f>
        <v>0</v>
      </c>
      <c r="M35" s="96">
        <f>SUMIFS(Transaction_Log!$C:$C, Transaction_Log!$B:$B, $A35, Transaction_Log!$A:$A, "&gt;="&amp;DATE(2026,11,1), Transaction_Log!$A:$A, "&lt;="&amp;DATE(2026,11,30))</f>
        <v>0</v>
      </c>
      <c r="N35" s="96">
        <f>SUMIFS(Transaction_Log!$C:$C, Transaction_Log!$B:$B, $A35, Transaction_Log!$A:$A, "&gt;="&amp;DATE(2026,12,1), Transaction_Log!$A:$A, "&lt;="&amp;DATE(2026,12,31))</f>
        <v>0</v>
      </c>
      <c r="O35" s="102">
        <f t="shared" ref="O35:O54" si="1">SUM(C35:N35)</f>
        <v>13500</v>
      </c>
      <c r="P35" s="99">
        <f>+DashBoard!D34</f>
        <v>0</v>
      </c>
    </row>
    <row r="36" spans="1:16" ht="15.75" customHeight="1" x14ac:dyDescent="0.2">
      <c r="A36" s="79" t="s">
        <v>83</v>
      </c>
      <c r="B36" s="77" t="str">
        <f>VLOOKUP($A36,Owner_Master!$A:$B,2,FALSE)</f>
        <v xml:space="preserve">K. Ramji </v>
      </c>
      <c r="C36" s="78">
        <f>SUMIFS(Transaction_Log!$C:$C, Transaction_Log!$B:$B, $A36, Transaction_Log!$A:$A, "&gt;="&amp;DATE(2026,1,1), Transaction_Log!$A:$A, "&lt;="&amp;DATE(2026,1,31))</f>
        <v>1500</v>
      </c>
      <c r="D36" s="78">
        <f>SUMIFS(Transaction_Log!$C:$C, Transaction_Log!$B:$B, $A36, Transaction_Log!$A:$A, "&gt;="&amp;DATE(2026,2,1), Transaction_Log!$A:$A, "&lt;="&amp;DATE(2026,2,28))</f>
        <v>21000</v>
      </c>
      <c r="E36" s="78">
        <f>SUMIFS(Transaction_Log!$C:$C, Transaction_Log!$B:$B, $A36, Transaction_Log!$A:$A, "&gt;="&amp;DATE(2026,3,1), Transaction_Log!$A:$A, "&lt;="&amp;DATE(2026,3,31))</f>
        <v>1500</v>
      </c>
      <c r="F36" s="78">
        <f>SUMIFS(Transaction_Log!$C:$C, Transaction_Log!$B:$B, $A36, Transaction_Log!$A:$A, "&gt;="&amp;DATE(2026,4,1), Transaction_Log!$A:$A, "&lt;="&amp;DATE(2026,4,30))</f>
        <v>1500</v>
      </c>
      <c r="G36" s="78">
        <f>SUMIFS(Transaction_Log!$C:$C, Transaction_Log!$B:$B, $A36, Transaction_Log!$A:$A, "&gt;="&amp;DATE(2026,5,1), Transaction_Log!$A:$A, "&lt;="&amp;DATE(2026,5,31))</f>
        <v>1500</v>
      </c>
      <c r="H36" s="96">
        <f>SUMIFS(Transaction_Log!$C:$C, Transaction_Log!$B:$B, $A36, Transaction_Log!$A:$A, "&gt;="&amp;DATE(2026,6,1), Transaction_Log!$A:$A, "&lt;="&amp;DATE(2026,6,30))</f>
        <v>0</v>
      </c>
      <c r="I36" s="96">
        <f>SUMIFS(Transaction_Log!$C:$C, Transaction_Log!$B:$B, $A36, Transaction_Log!$A:$A, "&gt;="&amp;DATE(2026,7,1), Transaction_Log!$A:$A, "&lt;="&amp;DATE(2026,7,31))</f>
        <v>0</v>
      </c>
      <c r="J36" s="96">
        <f>SUMIFS(Transaction_Log!$C:$C, Transaction_Log!$B:$B, $A36, Transaction_Log!$A:$A, "&gt;="&amp;DATE(2026,8,1), Transaction_Log!$A:$A, "&lt;="&amp;DATE(2026,8,31))</f>
        <v>0</v>
      </c>
      <c r="K36" s="96">
        <f>SUMIFS(Transaction_Log!$C:$C, Transaction_Log!$B:$B, $A36, Transaction_Log!$A:$A, "&gt;="&amp;DATE(2026,9,1), Transaction_Log!$A:$A, "&lt;="&amp;DATE(2026,9,30))</f>
        <v>0</v>
      </c>
      <c r="L36" s="96">
        <f>SUMIFS(Transaction_Log!$C:$C, Transaction_Log!$B:$B, $A36, Transaction_Log!$A:$A, "&gt;="&amp;DATE(2026,10,1), Transaction_Log!$A:$A, "&lt;="&amp;DATE(2026,10,31))</f>
        <v>0</v>
      </c>
      <c r="M36" s="96">
        <f>SUMIFS(Transaction_Log!$C:$C, Transaction_Log!$B:$B, $A36, Transaction_Log!$A:$A, "&gt;="&amp;DATE(2026,11,1), Transaction_Log!$A:$A, "&lt;="&amp;DATE(2026,11,30))</f>
        <v>0</v>
      </c>
      <c r="N36" s="96">
        <f>SUMIFS(Transaction_Log!$C:$C, Transaction_Log!$B:$B, $A36, Transaction_Log!$A:$A, "&gt;="&amp;DATE(2026,12,1), Transaction_Log!$A:$A, "&lt;="&amp;DATE(2026,12,31))</f>
        <v>0</v>
      </c>
      <c r="O36" s="102">
        <f t="shared" si="1"/>
        <v>27000</v>
      </c>
      <c r="P36" s="99">
        <f>+DashBoard!D35</f>
        <v>0</v>
      </c>
    </row>
    <row r="37" spans="1:16" ht="15.75" customHeight="1" x14ac:dyDescent="0.2">
      <c r="A37" s="79" t="s">
        <v>92</v>
      </c>
      <c r="B37" s="77" t="str">
        <f>VLOOKUP($A37,Owner_Master!$A:$B,2,FALSE)</f>
        <v>Ganesan &amp; Anitha</v>
      </c>
      <c r="C37" s="78">
        <f>SUMIFS(Transaction_Log!$C:$C, Transaction_Log!$B:$B, $A37, Transaction_Log!$A:$A, "&gt;="&amp;DATE(2026,1,1), Transaction_Log!$A:$A, "&lt;="&amp;DATE(2026,1,31))</f>
        <v>10000</v>
      </c>
      <c r="D37" s="78">
        <f>SUMIFS(Transaction_Log!$C:$C, Transaction_Log!$B:$B, $A37, Transaction_Log!$A:$A, "&gt;="&amp;DATE(2026,2,1), Transaction_Log!$A:$A, "&lt;="&amp;DATE(2026,2,28))</f>
        <v>30000</v>
      </c>
      <c r="E37" s="78">
        <f>SUMIFS(Transaction_Log!$C:$C, Transaction_Log!$B:$B, $A37, Transaction_Log!$A:$A, "&gt;="&amp;DATE(2026,3,1), Transaction_Log!$A:$A, "&lt;="&amp;DATE(2026,3,31))</f>
        <v>0</v>
      </c>
      <c r="F37" s="78">
        <f>SUMIFS(Transaction_Log!$C:$C, Transaction_Log!$B:$B, $A37, Transaction_Log!$A:$A, "&gt;="&amp;DATE(2026,4,1), Transaction_Log!$A:$A, "&lt;="&amp;DATE(2026,4,30))</f>
        <v>0</v>
      </c>
      <c r="G37" s="78">
        <f>SUMIFS(Transaction_Log!$C:$C, Transaction_Log!$B:$B, $A37, Transaction_Log!$A:$A, "&gt;="&amp;DATE(2026,5,1), Transaction_Log!$A:$A, "&lt;="&amp;DATE(2026,5,31))</f>
        <v>6500</v>
      </c>
      <c r="H37" s="96">
        <f>SUMIFS(Transaction_Log!$C:$C, Transaction_Log!$B:$B, $A37, Transaction_Log!$A:$A, "&gt;="&amp;DATE(2026,6,1), Transaction_Log!$A:$A, "&lt;="&amp;DATE(2026,6,30))</f>
        <v>0</v>
      </c>
      <c r="I37" s="96">
        <f>SUMIFS(Transaction_Log!$C:$C, Transaction_Log!$B:$B, $A37, Transaction_Log!$A:$A, "&gt;="&amp;DATE(2026,7,1), Transaction_Log!$A:$A, "&lt;="&amp;DATE(2026,7,31))</f>
        <v>0</v>
      </c>
      <c r="J37" s="96">
        <f>SUMIFS(Transaction_Log!$C:$C, Transaction_Log!$B:$B, $A37, Transaction_Log!$A:$A, "&gt;="&amp;DATE(2026,8,1), Transaction_Log!$A:$A, "&lt;="&amp;DATE(2026,8,31))</f>
        <v>0</v>
      </c>
      <c r="K37" s="96">
        <f>SUMIFS(Transaction_Log!$C:$C, Transaction_Log!$B:$B, $A37, Transaction_Log!$A:$A, "&gt;="&amp;DATE(2026,9,1), Transaction_Log!$A:$A, "&lt;="&amp;DATE(2026,9,30))</f>
        <v>0</v>
      </c>
      <c r="L37" s="96">
        <f>SUMIFS(Transaction_Log!$C:$C, Transaction_Log!$B:$B, $A37, Transaction_Log!$A:$A, "&gt;="&amp;DATE(2026,10,1), Transaction_Log!$A:$A, "&lt;="&amp;DATE(2026,10,31))</f>
        <v>0</v>
      </c>
      <c r="M37" s="96">
        <f>SUMIFS(Transaction_Log!$C:$C, Transaction_Log!$B:$B, $A37, Transaction_Log!$A:$A, "&gt;="&amp;DATE(2026,11,1), Transaction_Log!$A:$A, "&lt;="&amp;DATE(2026,11,30))</f>
        <v>0</v>
      </c>
      <c r="N37" s="96">
        <f>SUMIFS(Transaction_Log!$C:$C, Transaction_Log!$B:$B, $A37, Transaction_Log!$A:$A, "&gt;="&amp;DATE(2026,12,1), Transaction_Log!$A:$A, "&lt;="&amp;DATE(2026,12,31))</f>
        <v>0</v>
      </c>
      <c r="O37" s="102">
        <f t="shared" si="1"/>
        <v>46500</v>
      </c>
      <c r="P37" s="99">
        <f>+DashBoard!D36</f>
        <v>0</v>
      </c>
    </row>
    <row r="38" spans="1:16" ht="15.75" customHeight="1" x14ac:dyDescent="0.2">
      <c r="A38" s="79" t="s">
        <v>51</v>
      </c>
      <c r="B38" s="77" t="str">
        <f>VLOOKUP($A38,Owner_Master!$A:$B,2,FALSE)</f>
        <v>Karthik Krishnan &amp; Dr. Soniya Selvam</v>
      </c>
      <c r="C38" s="78">
        <f>SUMIFS(Transaction_Log!$C:$C, Transaction_Log!$B:$B, $A38, Transaction_Log!$A:$A, "&gt;="&amp;DATE(2026,1,1), Transaction_Log!$A:$A, "&lt;="&amp;DATE(2026,1,31))</f>
        <v>0</v>
      </c>
      <c r="D38" s="78">
        <f>SUMIFS(Transaction_Log!$C:$C, Transaction_Log!$B:$B, $A38, Transaction_Log!$A:$A, "&gt;="&amp;DATE(2026,2,1), Transaction_Log!$A:$A, "&lt;="&amp;DATE(2026,2,28))</f>
        <v>7500</v>
      </c>
      <c r="E38" s="78">
        <f>SUMIFS(Transaction_Log!$C:$C, Transaction_Log!$B:$B, $A38, Transaction_Log!$A:$A, "&gt;="&amp;DATE(2026,3,1), Transaction_Log!$A:$A, "&lt;="&amp;DATE(2026,3,31))</f>
        <v>1500</v>
      </c>
      <c r="F38" s="78">
        <f>SUMIFS(Transaction_Log!$C:$C, Transaction_Log!$B:$B, $A38, Transaction_Log!$A:$A, "&gt;="&amp;DATE(2026,4,1), Transaction_Log!$A:$A, "&lt;="&amp;DATE(2026,4,30))</f>
        <v>1500</v>
      </c>
      <c r="G38" s="78">
        <f>SUMIFS(Transaction_Log!$C:$C, Transaction_Log!$B:$B, $A38, Transaction_Log!$A:$A, "&gt;="&amp;DATE(2026,5,1), Transaction_Log!$A:$A, "&lt;="&amp;DATE(2026,5,31))</f>
        <v>0</v>
      </c>
      <c r="H38" s="96">
        <f>SUMIFS(Transaction_Log!$C:$C, Transaction_Log!$B:$B, $A38, Transaction_Log!$A:$A, "&gt;="&amp;DATE(2026,6,1), Transaction_Log!$A:$A, "&lt;="&amp;DATE(2026,6,30))</f>
        <v>0</v>
      </c>
      <c r="I38" s="96">
        <f>SUMIFS(Transaction_Log!$C:$C, Transaction_Log!$B:$B, $A38, Transaction_Log!$A:$A, "&gt;="&amp;DATE(2026,7,1), Transaction_Log!$A:$A, "&lt;="&amp;DATE(2026,7,31))</f>
        <v>0</v>
      </c>
      <c r="J38" s="96">
        <f>SUMIFS(Transaction_Log!$C:$C, Transaction_Log!$B:$B, $A38, Transaction_Log!$A:$A, "&gt;="&amp;DATE(2026,8,1), Transaction_Log!$A:$A, "&lt;="&amp;DATE(2026,8,31))</f>
        <v>0</v>
      </c>
      <c r="K38" s="96">
        <f>SUMIFS(Transaction_Log!$C:$C, Transaction_Log!$B:$B, $A38, Transaction_Log!$A:$A, "&gt;="&amp;DATE(2026,9,1), Transaction_Log!$A:$A, "&lt;="&amp;DATE(2026,9,30))</f>
        <v>0</v>
      </c>
      <c r="L38" s="96">
        <f>SUMIFS(Transaction_Log!$C:$C, Transaction_Log!$B:$B, $A38, Transaction_Log!$A:$A, "&gt;="&amp;DATE(2026,10,1), Transaction_Log!$A:$A, "&lt;="&amp;DATE(2026,10,31))</f>
        <v>0</v>
      </c>
      <c r="M38" s="96">
        <f>SUMIFS(Transaction_Log!$C:$C, Transaction_Log!$B:$B, $A38, Transaction_Log!$A:$A, "&gt;="&amp;DATE(2026,11,1), Transaction_Log!$A:$A, "&lt;="&amp;DATE(2026,11,30))</f>
        <v>0</v>
      </c>
      <c r="N38" s="96">
        <f>SUMIFS(Transaction_Log!$C:$C, Transaction_Log!$B:$B, $A38, Transaction_Log!$A:$A, "&gt;="&amp;DATE(2026,12,1), Transaction_Log!$A:$A, "&lt;="&amp;DATE(2026,12,31))</f>
        <v>0</v>
      </c>
      <c r="O38" s="102">
        <f t="shared" si="1"/>
        <v>10500</v>
      </c>
      <c r="P38" s="99">
        <f>+DashBoard!D37</f>
        <v>1500</v>
      </c>
    </row>
    <row r="39" spans="1:16" ht="15.75" customHeight="1" x14ac:dyDescent="0.2">
      <c r="A39" s="79" t="s">
        <v>71</v>
      </c>
      <c r="B39" s="77" t="str">
        <f>VLOOKUP($A39,Owner_Master!$A:$B,2,FALSE)</f>
        <v>Notrayan Srinivasan</v>
      </c>
      <c r="C39" s="78">
        <f>SUMIFS(Transaction_Log!$C:$C, Transaction_Log!$B:$B, $A39, Transaction_Log!$A:$A, "&gt;="&amp;DATE(2026,1,1), Transaction_Log!$A:$A, "&lt;="&amp;DATE(2026,1,31))</f>
        <v>0</v>
      </c>
      <c r="D39" s="78">
        <f>SUMIFS(Transaction_Log!$C:$C, Transaction_Log!$B:$B, $A39, Transaction_Log!$A:$A, "&gt;="&amp;DATE(2026,2,1), Transaction_Log!$A:$A, "&lt;="&amp;DATE(2026,2,28))</f>
        <v>0</v>
      </c>
      <c r="E39" s="78">
        <f>SUMIFS(Transaction_Log!$C:$C, Transaction_Log!$B:$B, $A39, Transaction_Log!$A:$A, "&gt;="&amp;DATE(2026,3,1), Transaction_Log!$A:$A, "&lt;="&amp;DATE(2026,3,31))</f>
        <v>0</v>
      </c>
      <c r="F39" s="78">
        <f>SUMIFS(Transaction_Log!$C:$C, Transaction_Log!$B:$B, $A39, Transaction_Log!$A:$A, "&gt;="&amp;DATE(2026,4,1), Transaction_Log!$A:$A, "&lt;="&amp;DATE(2026,4,30))</f>
        <v>0</v>
      </c>
      <c r="G39" s="78">
        <f>SUMIFS(Transaction_Log!$C:$C, Transaction_Log!$B:$B, $A39, Transaction_Log!$A:$A, "&gt;="&amp;DATE(2026,5,1), Transaction_Log!$A:$A, "&lt;="&amp;DATE(2026,5,31))</f>
        <v>0</v>
      </c>
      <c r="H39" s="96">
        <f>SUMIFS(Transaction_Log!$C:$C, Transaction_Log!$B:$B, $A39, Transaction_Log!$A:$A, "&gt;="&amp;DATE(2026,6,1), Transaction_Log!$A:$A, "&lt;="&amp;DATE(2026,6,30))</f>
        <v>0</v>
      </c>
      <c r="I39" s="96">
        <f>SUMIFS(Transaction_Log!$C:$C, Transaction_Log!$B:$B, $A39, Transaction_Log!$A:$A, "&gt;="&amp;DATE(2026,7,1), Transaction_Log!$A:$A, "&lt;="&amp;DATE(2026,7,31))</f>
        <v>0</v>
      </c>
      <c r="J39" s="96">
        <f>SUMIFS(Transaction_Log!$C:$C, Transaction_Log!$B:$B, $A39, Transaction_Log!$A:$A, "&gt;="&amp;DATE(2026,8,1), Transaction_Log!$A:$A, "&lt;="&amp;DATE(2026,8,31))</f>
        <v>0</v>
      </c>
      <c r="K39" s="96">
        <f>SUMIFS(Transaction_Log!$C:$C, Transaction_Log!$B:$B, $A39, Transaction_Log!$A:$A, "&gt;="&amp;DATE(2026,9,1), Transaction_Log!$A:$A, "&lt;="&amp;DATE(2026,9,30))</f>
        <v>0</v>
      </c>
      <c r="L39" s="96">
        <f>SUMIFS(Transaction_Log!$C:$C, Transaction_Log!$B:$B, $A39, Transaction_Log!$A:$A, "&gt;="&amp;DATE(2026,10,1), Transaction_Log!$A:$A, "&lt;="&amp;DATE(2026,10,31))</f>
        <v>0</v>
      </c>
      <c r="M39" s="96">
        <f>SUMIFS(Transaction_Log!$C:$C, Transaction_Log!$B:$B, $A39, Transaction_Log!$A:$A, "&gt;="&amp;DATE(2026,11,1), Transaction_Log!$A:$A, "&lt;="&amp;DATE(2026,11,30))</f>
        <v>0</v>
      </c>
      <c r="N39" s="96">
        <f>SUMIFS(Transaction_Log!$C:$C, Transaction_Log!$B:$B, $A39, Transaction_Log!$A:$A, "&gt;="&amp;DATE(2026,12,1), Transaction_Log!$A:$A, "&lt;="&amp;DATE(2026,12,31))</f>
        <v>0</v>
      </c>
      <c r="O39" s="102">
        <f t="shared" si="1"/>
        <v>0</v>
      </c>
      <c r="P39" s="99">
        <f>+DashBoard!D38</f>
        <v>22500</v>
      </c>
    </row>
    <row r="40" spans="1:16" ht="15.75" customHeight="1" x14ac:dyDescent="0.2">
      <c r="A40" s="79" t="s">
        <v>85</v>
      </c>
      <c r="B40" s="77" t="str">
        <f>VLOOKUP($A40,Owner_Master!$A:$B,2,FALSE)</f>
        <v>S Krishnamoorthy &amp; Dr D Champa</v>
      </c>
      <c r="C40" s="78">
        <f>SUMIFS(Transaction_Log!$C:$C, Transaction_Log!$B:$B, $A40, Transaction_Log!$A:$A, "&gt;="&amp;DATE(2026,1,1), Transaction_Log!$A:$A, "&lt;="&amp;DATE(2026,1,31))</f>
        <v>36000</v>
      </c>
      <c r="D40" s="78">
        <f>SUMIFS(Transaction_Log!$C:$C, Transaction_Log!$B:$B, $A40, Transaction_Log!$A:$A, "&gt;="&amp;DATE(2026,2,1), Transaction_Log!$A:$A, "&lt;="&amp;DATE(2026,2,28))</f>
        <v>0</v>
      </c>
      <c r="E40" s="78">
        <f>SUMIFS(Transaction_Log!$C:$C, Transaction_Log!$B:$B, $A40, Transaction_Log!$A:$A, "&gt;="&amp;DATE(2026,3,1), Transaction_Log!$A:$A, "&lt;="&amp;DATE(2026,3,31))</f>
        <v>0</v>
      </c>
      <c r="F40" s="78">
        <f>SUMIFS(Transaction_Log!$C:$C, Transaction_Log!$B:$B, $A40, Transaction_Log!$A:$A, "&gt;="&amp;DATE(2026,4,1), Transaction_Log!$A:$A, "&lt;="&amp;DATE(2026,4,30))</f>
        <v>0</v>
      </c>
      <c r="G40" s="78">
        <f>SUMIFS(Transaction_Log!$C:$C, Transaction_Log!$B:$B, $A40, Transaction_Log!$A:$A, "&gt;="&amp;DATE(2026,5,1), Transaction_Log!$A:$A, "&lt;="&amp;DATE(2026,5,31))</f>
        <v>0</v>
      </c>
      <c r="H40" s="96">
        <f>SUMIFS(Transaction_Log!$C:$C, Transaction_Log!$B:$B, $A40, Transaction_Log!$A:$A, "&gt;="&amp;DATE(2026,6,1), Transaction_Log!$A:$A, "&lt;="&amp;DATE(2026,6,30))</f>
        <v>0</v>
      </c>
      <c r="I40" s="96">
        <f>SUMIFS(Transaction_Log!$C:$C, Transaction_Log!$B:$B, $A40, Transaction_Log!$A:$A, "&gt;="&amp;DATE(2026,7,1), Transaction_Log!$A:$A, "&lt;="&amp;DATE(2026,7,31))</f>
        <v>0</v>
      </c>
      <c r="J40" s="96">
        <f>SUMIFS(Transaction_Log!$C:$C, Transaction_Log!$B:$B, $A40, Transaction_Log!$A:$A, "&gt;="&amp;DATE(2026,8,1), Transaction_Log!$A:$A, "&lt;="&amp;DATE(2026,8,31))</f>
        <v>0</v>
      </c>
      <c r="K40" s="96">
        <f>SUMIFS(Transaction_Log!$C:$C, Transaction_Log!$B:$B, $A40, Transaction_Log!$A:$A, "&gt;="&amp;DATE(2026,9,1), Transaction_Log!$A:$A, "&lt;="&amp;DATE(2026,9,30))</f>
        <v>0</v>
      </c>
      <c r="L40" s="96">
        <f>SUMIFS(Transaction_Log!$C:$C, Transaction_Log!$B:$B, $A40, Transaction_Log!$A:$A, "&gt;="&amp;DATE(2026,10,1), Transaction_Log!$A:$A, "&lt;="&amp;DATE(2026,10,31))</f>
        <v>0</v>
      </c>
      <c r="M40" s="96">
        <f>SUMIFS(Transaction_Log!$C:$C, Transaction_Log!$B:$B, $A40, Transaction_Log!$A:$A, "&gt;="&amp;DATE(2026,11,1), Transaction_Log!$A:$A, "&lt;="&amp;DATE(2026,11,30))</f>
        <v>0</v>
      </c>
      <c r="N40" s="96">
        <f>SUMIFS(Transaction_Log!$C:$C, Transaction_Log!$B:$B, $A40, Transaction_Log!$A:$A, "&gt;="&amp;DATE(2026,12,1), Transaction_Log!$A:$A, "&lt;="&amp;DATE(2026,12,31))</f>
        <v>0</v>
      </c>
      <c r="O40" s="102">
        <f t="shared" si="1"/>
        <v>36000</v>
      </c>
      <c r="P40" s="99">
        <f>+DashBoard!D39</f>
        <v>-1500</v>
      </c>
    </row>
    <row r="41" spans="1:16" ht="15.75" customHeight="1" x14ac:dyDescent="0.2">
      <c r="A41" s="79" t="s">
        <v>35</v>
      </c>
      <c r="B41" s="77" t="str">
        <f>VLOOKUP($A41,Owner_Master!$A:$B,2,FALSE)</f>
        <v>Hari Narayan Prasad</v>
      </c>
      <c r="C41" s="78">
        <f>SUMIFS(Transaction_Log!$C:$C, Transaction_Log!$B:$B, $A41, Transaction_Log!$A:$A, "&gt;="&amp;DATE(2026,1,1), Transaction_Log!$A:$A, "&lt;="&amp;DATE(2026,1,31))</f>
        <v>0</v>
      </c>
      <c r="D41" s="78">
        <f>SUMIFS(Transaction_Log!$C:$C, Transaction_Log!$B:$B, $A41, Transaction_Log!$A:$A, "&gt;="&amp;DATE(2026,2,1), Transaction_Log!$A:$A, "&lt;="&amp;DATE(2026,2,28))</f>
        <v>0</v>
      </c>
      <c r="E41" s="78">
        <f>SUMIFS(Transaction_Log!$C:$C, Transaction_Log!$B:$B, $A41, Transaction_Log!$A:$A, "&gt;="&amp;DATE(2026,3,1), Transaction_Log!$A:$A, "&lt;="&amp;DATE(2026,3,31))</f>
        <v>0</v>
      </c>
      <c r="F41" s="78">
        <f>SUMIFS(Transaction_Log!$C:$C, Transaction_Log!$B:$B, $A41, Transaction_Log!$A:$A, "&gt;="&amp;DATE(2026,4,1), Transaction_Log!$A:$A, "&lt;="&amp;DATE(2026,4,30))</f>
        <v>0</v>
      </c>
      <c r="G41" s="78">
        <f>SUMIFS(Transaction_Log!$C:$C, Transaction_Log!$B:$B, $A41, Transaction_Log!$A:$A, "&gt;="&amp;DATE(2026,5,1), Transaction_Log!$A:$A, "&lt;="&amp;DATE(2026,5,31))</f>
        <v>0</v>
      </c>
      <c r="H41" s="96">
        <f>SUMIFS(Transaction_Log!$C:$C, Transaction_Log!$B:$B, $A41, Transaction_Log!$A:$A, "&gt;="&amp;DATE(2026,6,1), Transaction_Log!$A:$A, "&lt;="&amp;DATE(2026,6,30))</f>
        <v>0</v>
      </c>
      <c r="I41" s="96">
        <f>SUMIFS(Transaction_Log!$C:$C, Transaction_Log!$B:$B, $A41, Transaction_Log!$A:$A, "&gt;="&amp;DATE(2026,7,1), Transaction_Log!$A:$A, "&lt;="&amp;DATE(2026,7,31))</f>
        <v>0</v>
      </c>
      <c r="J41" s="96">
        <f>SUMIFS(Transaction_Log!$C:$C, Transaction_Log!$B:$B, $A41, Transaction_Log!$A:$A, "&gt;="&amp;DATE(2026,8,1), Transaction_Log!$A:$A, "&lt;="&amp;DATE(2026,8,31))</f>
        <v>0</v>
      </c>
      <c r="K41" s="96">
        <f>SUMIFS(Transaction_Log!$C:$C, Transaction_Log!$B:$B, $A41, Transaction_Log!$A:$A, "&gt;="&amp;DATE(2026,9,1), Transaction_Log!$A:$A, "&lt;="&amp;DATE(2026,9,30))</f>
        <v>0</v>
      </c>
      <c r="L41" s="96">
        <f>SUMIFS(Transaction_Log!$C:$C, Transaction_Log!$B:$B, $A41, Transaction_Log!$A:$A, "&gt;="&amp;DATE(2026,10,1), Transaction_Log!$A:$A, "&lt;="&amp;DATE(2026,10,31))</f>
        <v>0</v>
      </c>
      <c r="M41" s="96">
        <f>SUMIFS(Transaction_Log!$C:$C, Transaction_Log!$B:$B, $A41, Transaction_Log!$A:$A, "&gt;="&amp;DATE(2026,11,1), Transaction_Log!$A:$A, "&lt;="&amp;DATE(2026,11,30))</f>
        <v>0</v>
      </c>
      <c r="N41" s="96">
        <f>SUMIFS(Transaction_Log!$C:$C, Transaction_Log!$B:$B, $A41, Transaction_Log!$A:$A, "&gt;="&amp;DATE(2026,12,1), Transaction_Log!$A:$A, "&lt;="&amp;DATE(2026,12,31))</f>
        <v>0</v>
      </c>
      <c r="O41" s="102">
        <f t="shared" si="1"/>
        <v>0</v>
      </c>
      <c r="P41" s="99">
        <f>+DashBoard!D40</f>
        <v>9000</v>
      </c>
    </row>
    <row r="42" spans="1:16" ht="15.75" customHeight="1" x14ac:dyDescent="0.2">
      <c r="A42" s="79" t="s">
        <v>53</v>
      </c>
      <c r="B42" s="77" t="str">
        <f>VLOOKUP($A42,Owner_Master!$A:$B,2,FALSE)</f>
        <v>P. Rajeev Nair</v>
      </c>
      <c r="C42" s="78">
        <f>SUMIFS(Transaction_Log!$C:$C, Transaction_Log!$B:$B, $A42, Transaction_Log!$A:$A, "&gt;="&amp;DATE(2026,1,1), Transaction_Log!$A:$A, "&lt;="&amp;DATE(2026,1,31))</f>
        <v>0</v>
      </c>
      <c r="D42" s="78">
        <f>SUMIFS(Transaction_Log!$C:$C, Transaction_Log!$B:$B, $A42, Transaction_Log!$A:$A, "&gt;="&amp;DATE(2026,2,1), Transaction_Log!$A:$A, "&lt;="&amp;DATE(2026,2,28))</f>
        <v>0</v>
      </c>
      <c r="E42" s="78">
        <f>SUMIFS(Transaction_Log!$C:$C, Transaction_Log!$B:$B, $A42, Transaction_Log!$A:$A, "&gt;="&amp;DATE(2026,3,1), Transaction_Log!$A:$A, "&lt;="&amp;DATE(2026,3,31))</f>
        <v>0</v>
      </c>
      <c r="F42" s="78">
        <f>SUMIFS(Transaction_Log!$C:$C, Transaction_Log!$B:$B, $A42, Transaction_Log!$A:$A, "&gt;="&amp;DATE(2026,4,1), Transaction_Log!$A:$A, "&lt;="&amp;DATE(2026,4,30))</f>
        <v>0</v>
      </c>
      <c r="G42" s="78">
        <f>SUMIFS(Transaction_Log!$C:$C, Transaction_Log!$B:$B, $A42, Transaction_Log!$A:$A, "&gt;="&amp;DATE(2026,5,1), Transaction_Log!$A:$A, "&lt;="&amp;DATE(2026,5,31))</f>
        <v>10500</v>
      </c>
      <c r="H42" s="96">
        <f>SUMIFS(Transaction_Log!$C:$C, Transaction_Log!$B:$B, $A42, Transaction_Log!$A:$A, "&gt;="&amp;DATE(2026,6,1), Transaction_Log!$A:$A, "&lt;="&amp;DATE(2026,6,30))</f>
        <v>0</v>
      </c>
      <c r="I42" s="96">
        <f>SUMIFS(Transaction_Log!$C:$C, Transaction_Log!$B:$B, $A42, Transaction_Log!$A:$A, "&gt;="&amp;DATE(2026,7,1), Transaction_Log!$A:$A, "&lt;="&amp;DATE(2026,7,31))</f>
        <v>0</v>
      </c>
      <c r="J42" s="96">
        <f>SUMIFS(Transaction_Log!$C:$C, Transaction_Log!$B:$B, $A42, Transaction_Log!$A:$A, "&gt;="&amp;DATE(2026,8,1), Transaction_Log!$A:$A, "&lt;="&amp;DATE(2026,8,31))</f>
        <v>0</v>
      </c>
      <c r="K42" s="96">
        <f>SUMIFS(Transaction_Log!$C:$C, Transaction_Log!$B:$B, $A42, Transaction_Log!$A:$A, "&gt;="&amp;DATE(2026,9,1), Transaction_Log!$A:$A, "&lt;="&amp;DATE(2026,9,30))</f>
        <v>0</v>
      </c>
      <c r="L42" s="96">
        <f>SUMIFS(Transaction_Log!$C:$C, Transaction_Log!$B:$B, $A42, Transaction_Log!$A:$A, "&gt;="&amp;DATE(2026,10,1), Transaction_Log!$A:$A, "&lt;="&amp;DATE(2026,10,31))</f>
        <v>0</v>
      </c>
      <c r="M42" s="96">
        <f>SUMIFS(Transaction_Log!$C:$C, Transaction_Log!$B:$B, $A42, Transaction_Log!$A:$A, "&gt;="&amp;DATE(2026,11,1), Transaction_Log!$A:$A, "&lt;="&amp;DATE(2026,11,30))</f>
        <v>0</v>
      </c>
      <c r="N42" s="96">
        <f>SUMIFS(Transaction_Log!$C:$C, Transaction_Log!$B:$B, $A42, Transaction_Log!$A:$A, "&gt;="&amp;DATE(2026,12,1), Transaction_Log!$A:$A, "&lt;="&amp;DATE(2026,12,31))</f>
        <v>0</v>
      </c>
      <c r="O42" s="102">
        <f t="shared" si="1"/>
        <v>10500</v>
      </c>
      <c r="P42" s="99">
        <f>+DashBoard!D41</f>
        <v>1500</v>
      </c>
    </row>
    <row r="43" spans="1:16" ht="15.75" customHeight="1" x14ac:dyDescent="0.2">
      <c r="A43" s="79" t="s">
        <v>90</v>
      </c>
      <c r="B43" s="77" t="str">
        <f>VLOOKUP($A43,Owner_Master!$A:$B,2,FALSE)</f>
        <v>Gopinath &amp; Mrs Anitha</v>
      </c>
      <c r="C43" s="78">
        <f>SUMIFS(Transaction_Log!$C:$C, Transaction_Log!$B:$B, $A43, Transaction_Log!$A:$A, "&gt;="&amp;DATE(2026,1,1), Transaction_Log!$A:$A, "&lt;="&amp;DATE(2026,1,31))</f>
        <v>0</v>
      </c>
      <c r="D43" s="78">
        <f>SUMIFS(Transaction_Log!$C:$C, Transaction_Log!$B:$B, $A43, Transaction_Log!$A:$A, "&gt;="&amp;DATE(2026,2,1), Transaction_Log!$A:$A, "&lt;="&amp;DATE(2026,2,28))</f>
        <v>0</v>
      </c>
      <c r="E43" s="78">
        <f>SUMIFS(Transaction_Log!$C:$C, Transaction_Log!$B:$B, $A43, Transaction_Log!$A:$A, "&gt;="&amp;DATE(2026,3,1), Transaction_Log!$A:$A, "&lt;="&amp;DATE(2026,3,31))</f>
        <v>0</v>
      </c>
      <c r="F43" s="78">
        <f>SUMIFS(Transaction_Log!$C:$C, Transaction_Log!$B:$B, $A43, Transaction_Log!$A:$A, "&gt;="&amp;DATE(2026,4,1), Transaction_Log!$A:$A, "&lt;="&amp;DATE(2026,4,30))</f>
        <v>0</v>
      </c>
      <c r="G43" s="78">
        <f>SUMIFS(Transaction_Log!$C:$C, Transaction_Log!$B:$B, $A43, Transaction_Log!$A:$A, "&gt;="&amp;DATE(2026,5,1), Transaction_Log!$A:$A, "&lt;="&amp;DATE(2026,5,31))</f>
        <v>0</v>
      </c>
      <c r="H43" s="96">
        <f>SUMIFS(Transaction_Log!$C:$C, Transaction_Log!$B:$B, $A43, Transaction_Log!$A:$A, "&gt;="&amp;DATE(2026,6,1), Transaction_Log!$A:$A, "&lt;="&amp;DATE(2026,6,30))</f>
        <v>0</v>
      </c>
      <c r="I43" s="96">
        <f>SUMIFS(Transaction_Log!$C:$C, Transaction_Log!$B:$B, $A43, Transaction_Log!$A:$A, "&gt;="&amp;DATE(2026,7,1), Transaction_Log!$A:$A, "&lt;="&amp;DATE(2026,7,31))</f>
        <v>0</v>
      </c>
      <c r="J43" s="96">
        <f>SUMIFS(Transaction_Log!$C:$C, Transaction_Log!$B:$B, $A43, Transaction_Log!$A:$A, "&gt;="&amp;DATE(2026,8,1), Transaction_Log!$A:$A, "&lt;="&amp;DATE(2026,8,31))</f>
        <v>0</v>
      </c>
      <c r="K43" s="96">
        <f>SUMIFS(Transaction_Log!$C:$C, Transaction_Log!$B:$B, $A43, Transaction_Log!$A:$A, "&gt;="&amp;DATE(2026,9,1), Transaction_Log!$A:$A, "&lt;="&amp;DATE(2026,9,30))</f>
        <v>0</v>
      </c>
      <c r="L43" s="96">
        <f>SUMIFS(Transaction_Log!$C:$C, Transaction_Log!$B:$B, $A43, Transaction_Log!$A:$A, "&gt;="&amp;DATE(2026,10,1), Transaction_Log!$A:$A, "&lt;="&amp;DATE(2026,10,31))</f>
        <v>0</v>
      </c>
      <c r="M43" s="96">
        <f>SUMIFS(Transaction_Log!$C:$C, Transaction_Log!$B:$B, $A43, Transaction_Log!$A:$A, "&gt;="&amp;DATE(2026,11,1), Transaction_Log!$A:$A, "&lt;="&amp;DATE(2026,11,30))</f>
        <v>0</v>
      </c>
      <c r="N43" s="96">
        <f>SUMIFS(Transaction_Log!$C:$C, Transaction_Log!$B:$B, $A43, Transaction_Log!$A:$A, "&gt;="&amp;DATE(2026,12,1), Transaction_Log!$A:$A, "&lt;="&amp;DATE(2026,12,31))</f>
        <v>0</v>
      </c>
      <c r="O43" s="102">
        <f t="shared" si="1"/>
        <v>0</v>
      </c>
      <c r="P43" s="99">
        <f>+DashBoard!D42</f>
        <v>43000</v>
      </c>
    </row>
    <row r="44" spans="1:16" ht="15.75" customHeight="1" x14ac:dyDescent="0.2">
      <c r="A44" s="79" t="s">
        <v>37</v>
      </c>
      <c r="B44" s="77" t="str">
        <f>VLOOKUP($A44,Owner_Master!$A:$B,2,FALSE)</f>
        <v>Dr Shreesha Kumar K</v>
      </c>
      <c r="C44" s="78">
        <f>SUMIFS(Transaction_Log!$C:$C, Transaction_Log!$B:$B, $A44, Transaction_Log!$A:$A, "&gt;="&amp;DATE(2026,1,1), Transaction_Log!$A:$A, "&lt;="&amp;DATE(2026,1,31))</f>
        <v>0</v>
      </c>
      <c r="D44" s="78">
        <f>SUMIFS(Transaction_Log!$C:$C, Transaction_Log!$B:$B, $A44, Transaction_Log!$A:$A, "&gt;="&amp;DATE(2026,2,1), Transaction_Log!$A:$A, "&lt;="&amp;DATE(2026,2,28))</f>
        <v>0</v>
      </c>
      <c r="E44" s="78">
        <f>SUMIFS(Transaction_Log!$C:$C, Transaction_Log!$B:$B, $A44, Transaction_Log!$A:$A, "&gt;="&amp;DATE(2026,3,1), Transaction_Log!$A:$A, "&lt;="&amp;DATE(2026,3,31))</f>
        <v>0</v>
      </c>
      <c r="F44" s="78">
        <f>SUMIFS(Transaction_Log!$C:$C, Transaction_Log!$B:$B, $A44, Transaction_Log!$A:$A, "&gt;="&amp;DATE(2026,4,1), Transaction_Log!$A:$A, "&lt;="&amp;DATE(2026,4,30))</f>
        <v>9000</v>
      </c>
      <c r="G44" s="78">
        <f>SUMIFS(Transaction_Log!$C:$C, Transaction_Log!$B:$B, $A44, Transaction_Log!$A:$A, "&gt;="&amp;DATE(2026,5,1), Transaction_Log!$A:$A, "&lt;="&amp;DATE(2026,5,31))</f>
        <v>0</v>
      </c>
      <c r="H44" s="96">
        <f>SUMIFS(Transaction_Log!$C:$C, Transaction_Log!$B:$B, $A44, Transaction_Log!$A:$A, "&gt;="&amp;DATE(2026,6,1), Transaction_Log!$A:$A, "&lt;="&amp;DATE(2026,6,30))</f>
        <v>0</v>
      </c>
      <c r="I44" s="96">
        <f>SUMIFS(Transaction_Log!$C:$C, Transaction_Log!$B:$B, $A44, Transaction_Log!$A:$A, "&gt;="&amp;DATE(2026,7,1), Transaction_Log!$A:$A, "&lt;="&amp;DATE(2026,7,31))</f>
        <v>0</v>
      </c>
      <c r="J44" s="96">
        <f>SUMIFS(Transaction_Log!$C:$C, Transaction_Log!$B:$B, $A44, Transaction_Log!$A:$A, "&gt;="&amp;DATE(2026,8,1), Transaction_Log!$A:$A, "&lt;="&amp;DATE(2026,8,31))</f>
        <v>0</v>
      </c>
      <c r="K44" s="96">
        <f>SUMIFS(Transaction_Log!$C:$C, Transaction_Log!$B:$B, $A44, Transaction_Log!$A:$A, "&gt;="&amp;DATE(2026,9,1), Transaction_Log!$A:$A, "&lt;="&amp;DATE(2026,9,30))</f>
        <v>0</v>
      </c>
      <c r="L44" s="96">
        <f>SUMIFS(Transaction_Log!$C:$C, Transaction_Log!$B:$B, $A44, Transaction_Log!$A:$A, "&gt;="&amp;DATE(2026,10,1), Transaction_Log!$A:$A, "&lt;="&amp;DATE(2026,10,31))</f>
        <v>0</v>
      </c>
      <c r="M44" s="96">
        <f>SUMIFS(Transaction_Log!$C:$C, Transaction_Log!$B:$B, $A44, Transaction_Log!$A:$A, "&gt;="&amp;DATE(2026,11,1), Transaction_Log!$A:$A, "&lt;="&amp;DATE(2026,11,30))</f>
        <v>0</v>
      </c>
      <c r="N44" s="96">
        <f>SUMIFS(Transaction_Log!$C:$C, Transaction_Log!$B:$B, $A44, Transaction_Log!$A:$A, "&gt;="&amp;DATE(2026,12,1), Transaction_Log!$A:$A, "&lt;="&amp;DATE(2026,12,31))</f>
        <v>0</v>
      </c>
      <c r="O44" s="102">
        <f t="shared" si="1"/>
        <v>9000</v>
      </c>
      <c r="P44" s="99">
        <f>+DashBoard!D43</f>
        <v>0</v>
      </c>
    </row>
    <row r="45" spans="1:16" ht="15.75" customHeight="1" x14ac:dyDescent="0.2">
      <c r="A45" s="79" t="s">
        <v>43</v>
      </c>
      <c r="B45" s="77" t="str">
        <f>VLOOKUP($A45,Owner_Master!$A:$B,2,FALSE)</f>
        <v xml:space="preserve">Maruthachlamurthi </v>
      </c>
      <c r="C45" s="78">
        <f>SUMIFS(Transaction_Log!$C:$C, Transaction_Log!$B:$B, $A45, Transaction_Log!$A:$A, "&gt;="&amp;DATE(2026,1,1), Transaction_Log!$A:$A, "&lt;="&amp;DATE(2026,1,31))</f>
        <v>0</v>
      </c>
      <c r="D45" s="78">
        <f>SUMIFS(Transaction_Log!$C:$C, Transaction_Log!$B:$B, $A45, Transaction_Log!$A:$A, "&gt;="&amp;DATE(2026,2,1), Transaction_Log!$A:$A, "&lt;="&amp;DATE(2026,2,28))</f>
        <v>2500</v>
      </c>
      <c r="E45" s="78">
        <f>SUMIFS(Transaction_Log!$C:$C, Transaction_Log!$B:$B, $A45, Transaction_Log!$A:$A, "&gt;="&amp;DATE(2026,3,1), Transaction_Log!$A:$A, "&lt;="&amp;DATE(2026,3,31))</f>
        <v>6000</v>
      </c>
      <c r="F45" s="78">
        <f>SUMIFS(Transaction_Log!$C:$C, Transaction_Log!$B:$B, $A45, Transaction_Log!$A:$A, "&gt;="&amp;DATE(2026,4,1), Transaction_Log!$A:$A, "&lt;="&amp;DATE(2026,4,30))</f>
        <v>0</v>
      </c>
      <c r="G45" s="78">
        <f>SUMIFS(Transaction_Log!$C:$C, Transaction_Log!$B:$B, $A45, Transaction_Log!$A:$A, "&gt;="&amp;DATE(2026,5,1), Transaction_Log!$A:$A, "&lt;="&amp;DATE(2026,5,31))</f>
        <v>0</v>
      </c>
      <c r="H45" s="96">
        <f>SUMIFS(Transaction_Log!$C:$C, Transaction_Log!$B:$B, $A45, Transaction_Log!$A:$A, "&gt;="&amp;DATE(2026,6,1), Transaction_Log!$A:$A, "&lt;="&amp;DATE(2026,6,30))</f>
        <v>0</v>
      </c>
      <c r="I45" s="96">
        <f>SUMIFS(Transaction_Log!$C:$C, Transaction_Log!$B:$B, $A45, Transaction_Log!$A:$A, "&gt;="&amp;DATE(2026,7,1), Transaction_Log!$A:$A, "&lt;="&amp;DATE(2026,7,31))</f>
        <v>0</v>
      </c>
      <c r="J45" s="96">
        <f>SUMIFS(Transaction_Log!$C:$C, Transaction_Log!$B:$B, $A45, Transaction_Log!$A:$A, "&gt;="&amp;DATE(2026,8,1), Transaction_Log!$A:$A, "&lt;="&amp;DATE(2026,8,31))</f>
        <v>0</v>
      </c>
      <c r="K45" s="96">
        <f>SUMIFS(Transaction_Log!$C:$C, Transaction_Log!$B:$B, $A45, Transaction_Log!$A:$A, "&gt;="&amp;DATE(2026,9,1), Transaction_Log!$A:$A, "&lt;="&amp;DATE(2026,9,30))</f>
        <v>0</v>
      </c>
      <c r="L45" s="96">
        <f>SUMIFS(Transaction_Log!$C:$C, Transaction_Log!$B:$B, $A45, Transaction_Log!$A:$A, "&gt;="&amp;DATE(2026,10,1), Transaction_Log!$A:$A, "&lt;="&amp;DATE(2026,10,31))</f>
        <v>0</v>
      </c>
      <c r="M45" s="96">
        <f>SUMIFS(Transaction_Log!$C:$C, Transaction_Log!$B:$B, $A45, Transaction_Log!$A:$A, "&gt;="&amp;DATE(2026,11,1), Transaction_Log!$A:$A, "&lt;="&amp;DATE(2026,11,30))</f>
        <v>0</v>
      </c>
      <c r="N45" s="96">
        <f>SUMIFS(Transaction_Log!$C:$C, Transaction_Log!$B:$B, $A45, Transaction_Log!$A:$A, "&gt;="&amp;DATE(2026,12,1), Transaction_Log!$A:$A, "&lt;="&amp;DATE(2026,12,31))</f>
        <v>0</v>
      </c>
      <c r="O45" s="102">
        <f t="shared" si="1"/>
        <v>8500</v>
      </c>
      <c r="P45" s="99">
        <f>+DashBoard!D44</f>
        <v>7500</v>
      </c>
    </row>
    <row r="46" spans="1:16" ht="15.75" customHeight="1" x14ac:dyDescent="0.2">
      <c r="A46" s="79" t="s">
        <v>81</v>
      </c>
      <c r="B46" s="77" t="str">
        <f>VLOOKUP($A46,Owner_Master!$A:$B,2,FALSE)</f>
        <v>N.Rajkumar &amp; A.Judith Mary Deepa</v>
      </c>
      <c r="C46" s="78">
        <f>SUMIFS(Transaction_Log!$C:$C, Transaction_Log!$B:$B, $A46, Transaction_Log!$A:$A, "&gt;="&amp;DATE(2026,1,1), Transaction_Log!$A:$A, "&lt;="&amp;DATE(2026,1,31))</f>
        <v>0</v>
      </c>
      <c r="D46" s="78">
        <f>SUMIFS(Transaction_Log!$C:$C, Transaction_Log!$B:$B, $A46, Transaction_Log!$A:$A, "&gt;="&amp;DATE(2026,2,1), Transaction_Log!$A:$A, "&lt;="&amp;DATE(2026,2,28))</f>
        <v>0</v>
      </c>
      <c r="E46" s="78">
        <f>SUMIFS(Transaction_Log!$C:$C, Transaction_Log!$B:$B, $A46, Transaction_Log!$A:$A, "&gt;="&amp;DATE(2026,3,1), Transaction_Log!$A:$A, "&lt;="&amp;DATE(2026,3,31))</f>
        <v>18000</v>
      </c>
      <c r="F46" s="78">
        <f>SUMIFS(Transaction_Log!$C:$C, Transaction_Log!$B:$B, $A46, Transaction_Log!$A:$A, "&gt;="&amp;DATE(2026,4,1), Transaction_Log!$A:$A, "&lt;="&amp;DATE(2026,4,30))</f>
        <v>0</v>
      </c>
      <c r="G46" s="78">
        <f>SUMIFS(Transaction_Log!$C:$C, Transaction_Log!$B:$B, $A46, Transaction_Log!$A:$A, "&gt;="&amp;DATE(2026,5,1), Transaction_Log!$A:$A, "&lt;="&amp;DATE(2026,5,31))</f>
        <v>0</v>
      </c>
      <c r="H46" s="96">
        <f>SUMIFS(Transaction_Log!$C:$C, Transaction_Log!$B:$B, $A46, Transaction_Log!$A:$A, "&gt;="&amp;DATE(2026,6,1), Transaction_Log!$A:$A, "&lt;="&amp;DATE(2026,6,30))</f>
        <v>0</v>
      </c>
      <c r="I46" s="96">
        <f>SUMIFS(Transaction_Log!$C:$C, Transaction_Log!$B:$B, $A46, Transaction_Log!$A:$A, "&gt;="&amp;DATE(2026,7,1), Transaction_Log!$A:$A, "&lt;="&amp;DATE(2026,7,31))</f>
        <v>0</v>
      </c>
      <c r="J46" s="96">
        <f>SUMIFS(Transaction_Log!$C:$C, Transaction_Log!$B:$B, $A46, Transaction_Log!$A:$A, "&gt;="&amp;DATE(2026,8,1), Transaction_Log!$A:$A, "&lt;="&amp;DATE(2026,8,31))</f>
        <v>0</v>
      </c>
      <c r="K46" s="96">
        <f>SUMIFS(Transaction_Log!$C:$C, Transaction_Log!$B:$B, $A46, Transaction_Log!$A:$A, "&gt;="&amp;DATE(2026,9,1), Transaction_Log!$A:$A, "&lt;="&amp;DATE(2026,9,30))</f>
        <v>0</v>
      </c>
      <c r="L46" s="96">
        <f>SUMIFS(Transaction_Log!$C:$C, Transaction_Log!$B:$B, $A46, Transaction_Log!$A:$A, "&gt;="&amp;DATE(2026,10,1), Transaction_Log!$A:$A, "&lt;="&amp;DATE(2026,10,31))</f>
        <v>0</v>
      </c>
      <c r="M46" s="96">
        <f>SUMIFS(Transaction_Log!$C:$C, Transaction_Log!$B:$B, $A46, Transaction_Log!$A:$A, "&gt;="&amp;DATE(2026,11,1), Transaction_Log!$A:$A, "&lt;="&amp;DATE(2026,11,30))</f>
        <v>0</v>
      </c>
      <c r="N46" s="96">
        <f>SUMIFS(Transaction_Log!$C:$C, Transaction_Log!$B:$B, $A46, Transaction_Log!$A:$A, "&gt;="&amp;DATE(2026,12,1), Transaction_Log!$A:$A, "&lt;="&amp;DATE(2026,12,31))</f>
        <v>0</v>
      </c>
      <c r="O46" s="102">
        <f t="shared" si="1"/>
        <v>18000</v>
      </c>
      <c r="P46" s="99">
        <f>+DashBoard!D45</f>
        <v>1000</v>
      </c>
    </row>
    <row r="47" spans="1:16" ht="15.75" customHeight="1" x14ac:dyDescent="0.2">
      <c r="A47" s="79" t="s">
        <v>89</v>
      </c>
      <c r="B47" s="77" t="str">
        <f>VLOOKUP($A47,Owner_Master!$A:$B,2,FALSE)</f>
        <v>N.Rajkumar &amp; A.Judith Mary Deepa</v>
      </c>
      <c r="C47" s="78">
        <f>SUMIFS(Transaction_Log!$C:$C, Transaction_Log!$B:$B, $A47, Transaction_Log!$A:$A, "&gt;="&amp;DATE(2026,1,1), Transaction_Log!$A:$A, "&lt;="&amp;DATE(2026,1,31))</f>
        <v>0</v>
      </c>
      <c r="D47" s="78">
        <f>SUMIFS(Transaction_Log!$C:$C, Transaction_Log!$B:$B, $A47, Transaction_Log!$A:$A, "&gt;="&amp;DATE(2026,2,1), Transaction_Log!$A:$A, "&lt;="&amp;DATE(2026,2,28))</f>
        <v>22500</v>
      </c>
      <c r="E47" s="78">
        <f>SUMIFS(Transaction_Log!$C:$C, Transaction_Log!$B:$B, $A47, Transaction_Log!$A:$A, "&gt;="&amp;DATE(2026,3,1), Transaction_Log!$A:$A, "&lt;="&amp;DATE(2026,3,31))</f>
        <v>18000</v>
      </c>
      <c r="F47" s="78">
        <f>SUMIFS(Transaction_Log!$C:$C, Transaction_Log!$B:$B, $A47, Transaction_Log!$A:$A, "&gt;="&amp;DATE(2026,4,1), Transaction_Log!$A:$A, "&lt;="&amp;DATE(2026,4,30))</f>
        <v>0</v>
      </c>
      <c r="G47" s="78">
        <f>SUMIFS(Transaction_Log!$C:$C, Transaction_Log!$B:$B, $A47, Transaction_Log!$A:$A, "&gt;="&amp;DATE(2026,5,1), Transaction_Log!$A:$A, "&lt;="&amp;DATE(2026,5,31))</f>
        <v>0</v>
      </c>
      <c r="H47" s="96">
        <f>SUMIFS(Transaction_Log!$C:$C, Transaction_Log!$B:$B, $A47, Transaction_Log!$A:$A, "&gt;="&amp;DATE(2026,6,1), Transaction_Log!$A:$A, "&lt;="&amp;DATE(2026,6,30))</f>
        <v>0</v>
      </c>
      <c r="I47" s="96">
        <f>SUMIFS(Transaction_Log!$C:$C, Transaction_Log!$B:$B, $A47, Transaction_Log!$A:$A, "&gt;="&amp;DATE(2026,7,1), Transaction_Log!$A:$A, "&lt;="&amp;DATE(2026,7,31))</f>
        <v>0</v>
      </c>
      <c r="J47" s="96">
        <f>SUMIFS(Transaction_Log!$C:$C, Transaction_Log!$B:$B, $A47, Transaction_Log!$A:$A, "&gt;="&amp;DATE(2026,8,1), Transaction_Log!$A:$A, "&lt;="&amp;DATE(2026,8,31))</f>
        <v>0</v>
      </c>
      <c r="K47" s="96">
        <f>SUMIFS(Transaction_Log!$C:$C, Transaction_Log!$B:$B, $A47, Transaction_Log!$A:$A, "&gt;="&amp;DATE(2026,9,1), Transaction_Log!$A:$A, "&lt;="&amp;DATE(2026,9,30))</f>
        <v>0</v>
      </c>
      <c r="L47" s="96">
        <f>SUMIFS(Transaction_Log!$C:$C, Transaction_Log!$B:$B, $A47, Transaction_Log!$A:$A, "&gt;="&amp;DATE(2026,10,1), Transaction_Log!$A:$A, "&lt;="&amp;DATE(2026,10,31))</f>
        <v>0</v>
      </c>
      <c r="M47" s="96">
        <f>SUMIFS(Transaction_Log!$C:$C, Transaction_Log!$B:$B, $A47, Transaction_Log!$A:$A, "&gt;="&amp;DATE(2026,11,1), Transaction_Log!$A:$A, "&lt;="&amp;DATE(2026,11,30))</f>
        <v>0</v>
      </c>
      <c r="N47" s="96">
        <f>SUMIFS(Transaction_Log!$C:$C, Transaction_Log!$B:$B, $A47, Transaction_Log!$A:$A, "&gt;="&amp;DATE(2026,12,1), Transaction_Log!$A:$A, "&lt;="&amp;DATE(2026,12,31))</f>
        <v>0</v>
      </c>
      <c r="O47" s="102">
        <f t="shared" si="1"/>
        <v>40500</v>
      </c>
      <c r="P47" s="99">
        <f>+DashBoard!D46</f>
        <v>-1500</v>
      </c>
    </row>
    <row r="48" spans="1:16" ht="15.75" customHeight="1" x14ac:dyDescent="0.2">
      <c r="A48" s="79" t="s">
        <v>39</v>
      </c>
      <c r="B48" s="77" t="str">
        <f>VLOOKUP($A48,Owner_Master!$A:$B,2,FALSE)</f>
        <v>Thejaswini &amp; Mahadeva Swamy</v>
      </c>
      <c r="C48" s="78">
        <f>SUMIFS(Transaction_Log!$C:$C, Transaction_Log!$B:$B, $A48, Transaction_Log!$A:$A, "&gt;="&amp;DATE(2026,1,1), Transaction_Log!$A:$A, "&lt;="&amp;DATE(2026,1,31))</f>
        <v>3000</v>
      </c>
      <c r="D48" s="78">
        <f>SUMIFS(Transaction_Log!$C:$C, Transaction_Log!$B:$B, $A48, Transaction_Log!$A:$A, "&gt;="&amp;DATE(2026,2,1), Transaction_Log!$A:$A, "&lt;="&amp;DATE(2026,2,28))</f>
        <v>1500</v>
      </c>
      <c r="E48" s="78">
        <f>SUMIFS(Transaction_Log!$C:$C, Transaction_Log!$B:$B, $A48, Transaction_Log!$A:$A, "&gt;="&amp;DATE(2026,3,1), Transaction_Log!$A:$A, "&lt;="&amp;DATE(2026,3,31))</f>
        <v>1500</v>
      </c>
      <c r="F48" s="78">
        <f>SUMIFS(Transaction_Log!$C:$C, Transaction_Log!$B:$B, $A48, Transaction_Log!$A:$A, "&gt;="&amp;DATE(2026,4,1), Transaction_Log!$A:$A, "&lt;="&amp;DATE(2026,4,30))</f>
        <v>1500</v>
      </c>
      <c r="G48" s="78">
        <f>SUMIFS(Transaction_Log!$C:$C, Transaction_Log!$B:$B, $A48, Transaction_Log!$A:$A, "&gt;="&amp;DATE(2026,5,1), Transaction_Log!$A:$A, "&lt;="&amp;DATE(2026,5,31))</f>
        <v>0</v>
      </c>
      <c r="H48" s="96">
        <f>SUMIFS(Transaction_Log!$C:$C, Transaction_Log!$B:$B, $A48, Transaction_Log!$A:$A, "&gt;="&amp;DATE(2026,6,1), Transaction_Log!$A:$A, "&lt;="&amp;DATE(2026,6,30))</f>
        <v>0</v>
      </c>
      <c r="I48" s="96">
        <f>SUMIFS(Transaction_Log!$C:$C, Transaction_Log!$B:$B, $A48, Transaction_Log!$A:$A, "&gt;="&amp;DATE(2026,7,1), Transaction_Log!$A:$A, "&lt;="&amp;DATE(2026,7,31))</f>
        <v>0</v>
      </c>
      <c r="J48" s="96">
        <f>SUMIFS(Transaction_Log!$C:$C, Transaction_Log!$B:$B, $A48, Transaction_Log!$A:$A, "&gt;="&amp;DATE(2026,8,1), Transaction_Log!$A:$A, "&lt;="&amp;DATE(2026,8,31))</f>
        <v>0</v>
      </c>
      <c r="K48" s="96">
        <f>SUMIFS(Transaction_Log!$C:$C, Transaction_Log!$B:$B, $A48, Transaction_Log!$A:$A, "&gt;="&amp;DATE(2026,9,1), Transaction_Log!$A:$A, "&lt;="&amp;DATE(2026,9,30))</f>
        <v>0</v>
      </c>
      <c r="L48" s="96">
        <f>SUMIFS(Transaction_Log!$C:$C, Transaction_Log!$B:$B, $A48, Transaction_Log!$A:$A, "&gt;="&amp;DATE(2026,10,1), Transaction_Log!$A:$A, "&lt;="&amp;DATE(2026,10,31))</f>
        <v>0</v>
      </c>
      <c r="M48" s="96">
        <f>SUMIFS(Transaction_Log!$C:$C, Transaction_Log!$B:$B, $A48, Transaction_Log!$A:$A, "&gt;="&amp;DATE(2026,11,1), Transaction_Log!$A:$A, "&lt;="&amp;DATE(2026,11,30))</f>
        <v>0</v>
      </c>
      <c r="N48" s="96">
        <f>SUMIFS(Transaction_Log!$C:$C, Transaction_Log!$B:$B, $A48, Transaction_Log!$A:$A, "&gt;="&amp;DATE(2026,12,1), Transaction_Log!$A:$A, "&lt;="&amp;DATE(2026,12,31))</f>
        <v>0</v>
      </c>
      <c r="O48" s="102">
        <f t="shared" si="1"/>
        <v>7500</v>
      </c>
      <c r="P48" s="99">
        <f>+DashBoard!D47</f>
        <v>1500</v>
      </c>
    </row>
    <row r="49" spans="1:16" ht="15.75" customHeight="1" x14ac:dyDescent="0.2">
      <c r="A49" s="79" t="s">
        <v>96</v>
      </c>
      <c r="B49" s="77" t="str">
        <f>VLOOKUP($A49,Owner_Master!$A:$B,2,FALSE)</f>
        <v>K. Suseela</v>
      </c>
      <c r="C49" s="78">
        <f>SUMIFS(Transaction_Log!$C:$C, Transaction_Log!$B:$B, $A49, Transaction_Log!$A:$A, "&gt;="&amp;DATE(2026,1,1), Transaction_Log!$A:$A, "&lt;="&amp;DATE(2026,1,31))</f>
        <v>1500</v>
      </c>
      <c r="D49" s="78">
        <f>SUMIFS(Transaction_Log!$C:$C, Transaction_Log!$B:$B, $A49, Transaction_Log!$A:$A, "&gt;="&amp;DATE(2026,2,1), Transaction_Log!$A:$A, "&lt;="&amp;DATE(2026,2,28))</f>
        <v>1500</v>
      </c>
      <c r="E49" s="78">
        <f>SUMIFS(Transaction_Log!$C:$C, Transaction_Log!$B:$B, $A49, Transaction_Log!$A:$A, "&gt;="&amp;DATE(2026,3,1), Transaction_Log!$A:$A, "&lt;="&amp;DATE(2026,3,31))</f>
        <v>1500</v>
      </c>
      <c r="F49" s="78">
        <f>SUMIFS(Transaction_Log!$C:$C, Transaction_Log!$B:$B, $A49, Transaction_Log!$A:$A, "&gt;="&amp;DATE(2026,4,1), Transaction_Log!$A:$A, "&lt;="&amp;DATE(2026,4,30))</f>
        <v>0</v>
      </c>
      <c r="G49" s="78">
        <f>SUMIFS(Transaction_Log!$C:$C, Transaction_Log!$B:$B, $A49, Transaction_Log!$A:$A, "&gt;="&amp;DATE(2026,5,1), Transaction_Log!$A:$A, "&lt;="&amp;DATE(2026,5,31))</f>
        <v>0</v>
      </c>
      <c r="H49" s="96">
        <f>SUMIFS(Transaction_Log!$C:$C, Transaction_Log!$B:$B, $A49, Transaction_Log!$A:$A, "&gt;="&amp;DATE(2026,6,1), Transaction_Log!$A:$A, "&lt;="&amp;DATE(2026,6,30))</f>
        <v>0</v>
      </c>
      <c r="I49" s="96">
        <f>SUMIFS(Transaction_Log!$C:$C, Transaction_Log!$B:$B, $A49, Transaction_Log!$A:$A, "&gt;="&amp;DATE(2026,7,1), Transaction_Log!$A:$A, "&lt;="&amp;DATE(2026,7,31))</f>
        <v>0</v>
      </c>
      <c r="J49" s="96">
        <f>SUMIFS(Transaction_Log!$C:$C, Transaction_Log!$B:$B, $A49, Transaction_Log!$A:$A, "&gt;="&amp;DATE(2026,8,1), Transaction_Log!$A:$A, "&lt;="&amp;DATE(2026,8,31))</f>
        <v>0</v>
      </c>
      <c r="K49" s="96">
        <f>SUMIFS(Transaction_Log!$C:$C, Transaction_Log!$B:$B, $A49, Transaction_Log!$A:$A, "&gt;="&amp;DATE(2026,9,1), Transaction_Log!$A:$A, "&lt;="&amp;DATE(2026,9,30))</f>
        <v>0</v>
      </c>
      <c r="L49" s="96">
        <f>SUMIFS(Transaction_Log!$C:$C, Transaction_Log!$B:$B, $A49, Transaction_Log!$A:$A, "&gt;="&amp;DATE(2026,10,1), Transaction_Log!$A:$A, "&lt;="&amp;DATE(2026,10,31))</f>
        <v>0</v>
      </c>
      <c r="M49" s="96">
        <f>SUMIFS(Transaction_Log!$C:$C, Transaction_Log!$B:$B, $A49, Transaction_Log!$A:$A, "&gt;="&amp;DATE(2026,11,1), Transaction_Log!$A:$A, "&lt;="&amp;DATE(2026,11,30))</f>
        <v>0</v>
      </c>
      <c r="N49" s="96">
        <f>SUMIFS(Transaction_Log!$C:$C, Transaction_Log!$B:$B, $A49, Transaction_Log!$A:$A, "&gt;="&amp;DATE(2026,12,1), Transaction_Log!$A:$A, "&lt;="&amp;DATE(2026,12,31))</f>
        <v>0</v>
      </c>
      <c r="O49" s="102">
        <f t="shared" si="1"/>
        <v>4500</v>
      </c>
      <c r="P49" s="99">
        <f>+DashBoard!D48</f>
        <v>59000</v>
      </c>
    </row>
    <row r="50" spans="1:16" ht="15.75" customHeight="1" x14ac:dyDescent="0.2">
      <c r="A50" s="79" t="s">
        <v>106</v>
      </c>
      <c r="B50" s="77" t="str">
        <f>VLOOKUP($A50,Owner_Master!$A:$B,2,FALSE)</f>
        <v xml:space="preserve">C.Narayanan </v>
      </c>
      <c r="C50" s="78">
        <f>SUMIFS(Transaction_Log!$C:$C, Transaction_Log!$B:$B, $A50, Transaction_Log!$A:$A, "&gt;="&amp;DATE(2026,1,1), Transaction_Log!$A:$A, "&lt;="&amp;DATE(2026,1,31))</f>
        <v>0</v>
      </c>
      <c r="D50" s="78">
        <f>SUMIFS(Transaction_Log!$C:$C, Transaction_Log!$B:$B, $A50, Transaction_Log!$A:$A, "&gt;="&amp;DATE(2026,2,1), Transaction_Log!$A:$A, "&lt;="&amp;DATE(2026,2,28))</f>
        <v>0</v>
      </c>
      <c r="E50" s="78">
        <f>SUMIFS(Transaction_Log!$C:$C, Transaction_Log!$B:$B, $A50, Transaction_Log!$A:$A, "&gt;="&amp;DATE(2026,3,1), Transaction_Log!$A:$A, "&lt;="&amp;DATE(2026,3,31))</f>
        <v>0</v>
      </c>
      <c r="F50" s="78">
        <f>SUMIFS(Transaction_Log!$C:$C, Transaction_Log!$B:$B, $A50, Transaction_Log!$A:$A, "&gt;="&amp;DATE(2026,4,1), Transaction_Log!$A:$A, "&lt;="&amp;DATE(2026,4,30))</f>
        <v>0</v>
      </c>
      <c r="G50" s="78">
        <f>SUMIFS(Transaction_Log!$C:$C, Transaction_Log!$B:$B, $A50, Transaction_Log!$A:$A, "&gt;="&amp;DATE(2026,5,1), Transaction_Log!$A:$A, "&lt;="&amp;DATE(2026,5,31))</f>
        <v>0</v>
      </c>
      <c r="H50" s="96">
        <f>SUMIFS(Transaction_Log!$C:$C, Transaction_Log!$B:$B, $A50, Transaction_Log!$A:$A, "&gt;="&amp;DATE(2026,6,1), Transaction_Log!$A:$A, "&lt;="&amp;DATE(2026,6,30))</f>
        <v>0</v>
      </c>
      <c r="I50" s="96">
        <f>SUMIFS(Transaction_Log!$C:$C, Transaction_Log!$B:$B, $A50, Transaction_Log!$A:$A, "&gt;="&amp;DATE(2026,7,1), Transaction_Log!$A:$A, "&lt;="&amp;DATE(2026,7,31))</f>
        <v>0</v>
      </c>
      <c r="J50" s="96">
        <f>SUMIFS(Transaction_Log!$C:$C, Transaction_Log!$B:$B, $A50, Transaction_Log!$A:$A, "&gt;="&amp;DATE(2026,8,1), Transaction_Log!$A:$A, "&lt;="&amp;DATE(2026,8,31))</f>
        <v>0</v>
      </c>
      <c r="K50" s="96">
        <f>SUMIFS(Transaction_Log!$C:$C, Transaction_Log!$B:$B, $A50, Transaction_Log!$A:$A, "&gt;="&amp;DATE(2026,9,1), Transaction_Log!$A:$A, "&lt;="&amp;DATE(2026,9,30))</f>
        <v>0</v>
      </c>
      <c r="L50" s="96">
        <f>SUMIFS(Transaction_Log!$C:$C, Transaction_Log!$B:$B, $A50, Transaction_Log!$A:$A, "&gt;="&amp;DATE(2026,10,1), Transaction_Log!$A:$A, "&lt;="&amp;DATE(2026,10,31))</f>
        <v>0</v>
      </c>
      <c r="M50" s="96">
        <f>SUMIFS(Transaction_Log!$C:$C, Transaction_Log!$B:$B, $A50, Transaction_Log!$A:$A, "&gt;="&amp;DATE(2026,11,1), Transaction_Log!$A:$A, "&lt;="&amp;DATE(2026,11,30))</f>
        <v>0</v>
      </c>
      <c r="N50" s="96">
        <f>SUMIFS(Transaction_Log!$C:$C, Transaction_Log!$B:$B, $A50, Transaction_Log!$A:$A, "&gt;="&amp;DATE(2026,12,1), Transaction_Log!$A:$A, "&lt;="&amp;DATE(2026,12,31))</f>
        <v>0</v>
      </c>
      <c r="O50" s="102">
        <f t="shared" si="1"/>
        <v>0</v>
      </c>
      <c r="P50" s="99">
        <f>+DashBoard!D49</f>
        <v>7000</v>
      </c>
    </row>
    <row r="51" spans="1:16" ht="15.75" customHeight="1" x14ac:dyDescent="0.2">
      <c r="A51" s="79" t="s">
        <v>55</v>
      </c>
      <c r="B51" s="77" t="str">
        <f>VLOOKUP($A51,Owner_Master!$A:$B,2,FALSE)</f>
        <v xml:space="preserve">R.Balaji &amp; S.Venkata Priya </v>
      </c>
      <c r="C51" s="78">
        <f>SUMIFS(Transaction_Log!$C:$C, Transaction_Log!$B:$B, $A51, Transaction_Log!$A:$A, "&gt;="&amp;DATE(2026,1,1), Transaction_Log!$A:$A, "&lt;="&amp;DATE(2026,1,31))</f>
        <v>0</v>
      </c>
      <c r="D51" s="78">
        <f>SUMIFS(Transaction_Log!$C:$C, Transaction_Log!$B:$B, $A51, Transaction_Log!$A:$A, "&gt;="&amp;DATE(2026,2,1), Transaction_Log!$A:$A, "&lt;="&amp;DATE(2026,2,28))</f>
        <v>0</v>
      </c>
      <c r="E51" s="78">
        <f>SUMIFS(Transaction_Log!$C:$C, Transaction_Log!$B:$B, $A51, Transaction_Log!$A:$A, "&gt;="&amp;DATE(2026,3,1), Transaction_Log!$A:$A, "&lt;="&amp;DATE(2026,3,31))</f>
        <v>0</v>
      </c>
      <c r="F51" s="78">
        <f>SUMIFS(Transaction_Log!$C:$C, Transaction_Log!$B:$B, $A51, Transaction_Log!$A:$A, "&gt;="&amp;DATE(2026,4,1), Transaction_Log!$A:$A, "&lt;="&amp;DATE(2026,4,30))</f>
        <v>0</v>
      </c>
      <c r="G51" s="78">
        <f>SUMIFS(Transaction_Log!$C:$C, Transaction_Log!$B:$B, $A51, Transaction_Log!$A:$A, "&gt;="&amp;DATE(2026,5,1), Transaction_Log!$A:$A, "&lt;="&amp;DATE(2026,5,31))</f>
        <v>0</v>
      </c>
      <c r="H51" s="96">
        <f>SUMIFS(Transaction_Log!$C:$C, Transaction_Log!$B:$B, $A51, Transaction_Log!$A:$A, "&gt;="&amp;DATE(2026,6,1), Transaction_Log!$A:$A, "&lt;="&amp;DATE(2026,6,30))</f>
        <v>0</v>
      </c>
      <c r="I51" s="96">
        <f>SUMIFS(Transaction_Log!$C:$C, Transaction_Log!$B:$B, $A51, Transaction_Log!$A:$A, "&gt;="&amp;DATE(2026,7,1), Transaction_Log!$A:$A, "&lt;="&amp;DATE(2026,7,31))</f>
        <v>0</v>
      </c>
      <c r="J51" s="96">
        <f>SUMIFS(Transaction_Log!$C:$C, Transaction_Log!$B:$B, $A51, Transaction_Log!$A:$A, "&gt;="&amp;DATE(2026,8,1), Transaction_Log!$A:$A, "&lt;="&amp;DATE(2026,8,31))</f>
        <v>0</v>
      </c>
      <c r="K51" s="96">
        <f>SUMIFS(Transaction_Log!$C:$C, Transaction_Log!$B:$B, $A51, Transaction_Log!$A:$A, "&gt;="&amp;DATE(2026,9,1), Transaction_Log!$A:$A, "&lt;="&amp;DATE(2026,9,30))</f>
        <v>0</v>
      </c>
      <c r="L51" s="96">
        <f>SUMIFS(Transaction_Log!$C:$C, Transaction_Log!$B:$B, $A51, Transaction_Log!$A:$A, "&gt;="&amp;DATE(2026,10,1), Transaction_Log!$A:$A, "&lt;="&amp;DATE(2026,10,31))</f>
        <v>0</v>
      </c>
      <c r="M51" s="96">
        <f>SUMIFS(Transaction_Log!$C:$C, Transaction_Log!$B:$B, $A51, Transaction_Log!$A:$A, "&gt;="&amp;DATE(2026,11,1), Transaction_Log!$A:$A, "&lt;="&amp;DATE(2026,11,30))</f>
        <v>0</v>
      </c>
      <c r="N51" s="96">
        <f>SUMIFS(Transaction_Log!$C:$C, Transaction_Log!$B:$B, $A51, Transaction_Log!$A:$A, "&gt;="&amp;DATE(2026,12,1), Transaction_Log!$A:$A, "&lt;="&amp;DATE(2026,12,31))</f>
        <v>0</v>
      </c>
      <c r="O51" s="102">
        <f t="shared" si="1"/>
        <v>0</v>
      </c>
      <c r="P51" s="99">
        <f>+DashBoard!D50</f>
        <v>12000</v>
      </c>
    </row>
    <row r="52" spans="1:16" ht="15.75" customHeight="1" x14ac:dyDescent="0.2">
      <c r="A52" s="79" t="s">
        <v>27</v>
      </c>
      <c r="B52" s="77" t="str">
        <f>VLOOKUP($A52,Owner_Master!$A:$B,2,FALSE)</f>
        <v>Rajesh Babu Krishnan</v>
      </c>
      <c r="C52" s="78">
        <f>SUMIFS(Transaction_Log!$C:$C, Transaction_Log!$B:$B, $A52, Transaction_Log!$A:$A, "&gt;="&amp;DATE(2026,1,1), Transaction_Log!$A:$A, "&lt;="&amp;DATE(2026,1,31))</f>
        <v>1500</v>
      </c>
      <c r="D52" s="78">
        <f>SUMIFS(Transaction_Log!$C:$C, Transaction_Log!$B:$B, $A52, Transaction_Log!$A:$A, "&gt;="&amp;DATE(2026,2,1), Transaction_Log!$A:$A, "&lt;="&amp;DATE(2026,2,28))</f>
        <v>1500</v>
      </c>
      <c r="E52" s="78">
        <f>SUMIFS(Transaction_Log!$C:$C, Transaction_Log!$B:$B, $A52, Transaction_Log!$A:$A, "&gt;="&amp;DATE(2026,3,1), Transaction_Log!$A:$A, "&lt;="&amp;DATE(2026,3,31))</f>
        <v>1500</v>
      </c>
      <c r="F52" s="78">
        <f>SUMIFS(Transaction_Log!$C:$C, Transaction_Log!$B:$B, $A52, Transaction_Log!$A:$A, "&gt;="&amp;DATE(2026,4,1), Transaction_Log!$A:$A, "&lt;="&amp;DATE(2026,4,30))</f>
        <v>1500</v>
      </c>
      <c r="G52" s="78">
        <f>SUMIFS(Transaction_Log!$C:$C, Transaction_Log!$B:$B, $A52, Transaction_Log!$A:$A, "&gt;="&amp;DATE(2026,5,1), Transaction_Log!$A:$A, "&lt;="&amp;DATE(2026,5,31))</f>
        <v>1500</v>
      </c>
      <c r="H52" s="96">
        <f>SUMIFS(Transaction_Log!$C:$C, Transaction_Log!$B:$B, $A52, Transaction_Log!$A:$A, "&gt;="&amp;DATE(2026,6,1), Transaction_Log!$A:$A, "&lt;="&amp;DATE(2026,6,30))</f>
        <v>0</v>
      </c>
      <c r="I52" s="96">
        <f>SUMIFS(Transaction_Log!$C:$C, Transaction_Log!$B:$B, $A52, Transaction_Log!$A:$A, "&gt;="&amp;DATE(2026,7,1), Transaction_Log!$A:$A, "&lt;="&amp;DATE(2026,7,31))</f>
        <v>0</v>
      </c>
      <c r="J52" s="96">
        <f>SUMIFS(Transaction_Log!$C:$C, Transaction_Log!$B:$B, $A52, Transaction_Log!$A:$A, "&gt;="&amp;DATE(2026,8,1), Transaction_Log!$A:$A, "&lt;="&amp;DATE(2026,8,31))</f>
        <v>0</v>
      </c>
      <c r="K52" s="96">
        <f>SUMIFS(Transaction_Log!$C:$C, Transaction_Log!$B:$B, $A52, Transaction_Log!$A:$A, "&gt;="&amp;DATE(2026,9,1), Transaction_Log!$A:$A, "&lt;="&amp;DATE(2026,9,30))</f>
        <v>0</v>
      </c>
      <c r="L52" s="96">
        <f>SUMIFS(Transaction_Log!$C:$C, Transaction_Log!$B:$B, $A52, Transaction_Log!$A:$A, "&gt;="&amp;DATE(2026,10,1), Transaction_Log!$A:$A, "&lt;="&amp;DATE(2026,10,31))</f>
        <v>0</v>
      </c>
      <c r="M52" s="96">
        <f>SUMIFS(Transaction_Log!$C:$C, Transaction_Log!$B:$B, $A52, Transaction_Log!$A:$A, "&gt;="&amp;DATE(2026,11,1), Transaction_Log!$A:$A, "&lt;="&amp;DATE(2026,11,30))</f>
        <v>0</v>
      </c>
      <c r="N52" s="96">
        <f>SUMIFS(Transaction_Log!$C:$C, Transaction_Log!$B:$B, $A52, Transaction_Log!$A:$A, "&gt;="&amp;DATE(2026,12,1), Transaction_Log!$A:$A, "&lt;="&amp;DATE(2026,12,31))</f>
        <v>0</v>
      </c>
      <c r="O52" s="102">
        <f t="shared" si="1"/>
        <v>7500</v>
      </c>
      <c r="P52" s="99">
        <f>+DashBoard!D51</f>
        <v>0</v>
      </c>
    </row>
    <row r="53" spans="1:16" ht="15.75" customHeight="1" x14ac:dyDescent="0.2">
      <c r="A53" s="79" t="s">
        <v>49</v>
      </c>
      <c r="B53" s="77" t="str">
        <f>VLOOKUP($A53,Owner_Master!$A:$B,2,FALSE)</f>
        <v>Dr P Manivannan MD &amp; K.Kalaichelvi IRS Retd</v>
      </c>
      <c r="C53" s="78">
        <f>SUMIFS(Transaction_Log!$C:$C, Transaction_Log!$B:$B, $A53, Transaction_Log!$A:$A, "&gt;="&amp;DATE(2026,1,1), Transaction_Log!$A:$A, "&lt;="&amp;DATE(2026,1,31))</f>
        <v>0</v>
      </c>
      <c r="D53" s="78">
        <f>SUMIFS(Transaction_Log!$C:$C, Transaction_Log!$B:$B, $A53, Transaction_Log!$A:$A, "&gt;="&amp;DATE(2026,2,1), Transaction_Log!$A:$A, "&lt;="&amp;DATE(2026,2,28))</f>
        <v>0</v>
      </c>
      <c r="E53" s="78">
        <f>SUMIFS(Transaction_Log!$C:$C, Transaction_Log!$B:$B, $A53, Transaction_Log!$A:$A, "&gt;="&amp;DATE(2026,3,1), Transaction_Log!$A:$A, "&lt;="&amp;DATE(2026,3,31))</f>
        <v>0</v>
      </c>
      <c r="F53" s="78">
        <f>SUMIFS(Transaction_Log!$C:$C, Transaction_Log!$B:$B, $A53, Transaction_Log!$A:$A, "&gt;="&amp;DATE(2026,4,1), Transaction_Log!$A:$A, "&lt;="&amp;DATE(2026,4,30))</f>
        <v>0</v>
      </c>
      <c r="G53" s="78">
        <f>SUMIFS(Transaction_Log!$C:$C, Transaction_Log!$B:$B, $A53, Transaction_Log!$A:$A, "&gt;="&amp;DATE(2026,5,1), Transaction_Log!$A:$A, "&lt;="&amp;DATE(2026,5,31))</f>
        <v>12000</v>
      </c>
      <c r="H53" s="96">
        <f>SUMIFS(Transaction_Log!$C:$C, Transaction_Log!$B:$B, $A53, Transaction_Log!$A:$A, "&gt;="&amp;DATE(2026,6,1), Transaction_Log!$A:$A, "&lt;="&amp;DATE(2026,6,30))</f>
        <v>0</v>
      </c>
      <c r="I53" s="96">
        <f>SUMIFS(Transaction_Log!$C:$C, Transaction_Log!$B:$B, $A53, Transaction_Log!$A:$A, "&gt;="&amp;DATE(2026,7,1), Transaction_Log!$A:$A, "&lt;="&amp;DATE(2026,7,31))</f>
        <v>0</v>
      </c>
      <c r="J53" s="96">
        <f>SUMIFS(Transaction_Log!$C:$C, Transaction_Log!$B:$B, $A53, Transaction_Log!$A:$A, "&gt;="&amp;DATE(2026,8,1), Transaction_Log!$A:$A, "&lt;="&amp;DATE(2026,8,31))</f>
        <v>0</v>
      </c>
      <c r="K53" s="96">
        <f>SUMIFS(Transaction_Log!$C:$C, Transaction_Log!$B:$B, $A53, Transaction_Log!$A:$A, "&gt;="&amp;DATE(2026,9,1), Transaction_Log!$A:$A, "&lt;="&amp;DATE(2026,9,30))</f>
        <v>0</v>
      </c>
      <c r="L53" s="96">
        <f>SUMIFS(Transaction_Log!$C:$C, Transaction_Log!$B:$B, $A53, Transaction_Log!$A:$A, "&gt;="&amp;DATE(2026,10,1), Transaction_Log!$A:$A, "&lt;="&amp;DATE(2026,10,31))</f>
        <v>0</v>
      </c>
      <c r="M53" s="96">
        <f>SUMIFS(Transaction_Log!$C:$C, Transaction_Log!$B:$B, $A53, Transaction_Log!$A:$A, "&gt;="&amp;DATE(2026,11,1), Transaction_Log!$A:$A, "&lt;="&amp;DATE(2026,11,30))</f>
        <v>0</v>
      </c>
      <c r="N53" s="96">
        <f>SUMIFS(Transaction_Log!$C:$C, Transaction_Log!$B:$B, $A53, Transaction_Log!$A:$A, "&gt;="&amp;DATE(2026,12,1), Transaction_Log!$A:$A, "&lt;="&amp;DATE(2026,12,31))</f>
        <v>0</v>
      </c>
      <c r="O53" s="102">
        <f t="shared" si="1"/>
        <v>12000</v>
      </c>
      <c r="P53" s="99">
        <f>+DashBoard!D52</f>
        <v>-1500</v>
      </c>
    </row>
    <row r="54" spans="1:16" ht="15.75" customHeight="1" thickBot="1" x14ac:dyDescent="0.25">
      <c r="A54" s="83" t="s">
        <v>41</v>
      </c>
      <c r="B54" s="84" t="str">
        <f>VLOOKUP($A54,Owner_Master!$A:$B,2,FALSE)</f>
        <v>Lt.Col Vimla VR (Retd)</v>
      </c>
      <c r="C54" s="85">
        <f>SUMIFS(Transaction_Log!$C:$C, Transaction_Log!$B:$B, $A54, Transaction_Log!$A:$A, "&gt;="&amp;DATE(2026,1,1), Transaction_Log!$A:$A, "&lt;="&amp;DATE(2026,1,31))</f>
        <v>0</v>
      </c>
      <c r="D54" s="85">
        <f>SUMIFS(Transaction_Log!$C:$C, Transaction_Log!$B:$B, $A54, Transaction_Log!$A:$A, "&gt;="&amp;DATE(2026,2,1), Transaction_Log!$A:$A, "&lt;="&amp;DATE(2026,2,28))</f>
        <v>4500</v>
      </c>
      <c r="E54" s="85">
        <f>SUMIFS(Transaction_Log!$C:$C, Transaction_Log!$B:$B, $A54, Transaction_Log!$A:$A, "&gt;="&amp;DATE(2026,3,1), Transaction_Log!$A:$A, "&lt;="&amp;DATE(2026,3,31))</f>
        <v>0</v>
      </c>
      <c r="F54" s="85">
        <f>SUMIFS(Transaction_Log!$C:$C, Transaction_Log!$B:$B, $A54, Transaction_Log!$A:$A, "&gt;="&amp;DATE(2026,4,1), Transaction_Log!$A:$A, "&lt;="&amp;DATE(2026,4,30))</f>
        <v>0</v>
      </c>
      <c r="G54" s="85">
        <f>SUMIFS(Transaction_Log!$C:$C, Transaction_Log!$B:$B, $A54, Transaction_Log!$A:$A, "&gt;="&amp;DATE(2026,5,1), Transaction_Log!$A:$A, "&lt;="&amp;DATE(2026,5,31))</f>
        <v>4500</v>
      </c>
      <c r="H54" s="97">
        <f>SUMIFS(Transaction_Log!$C:$C, Transaction_Log!$B:$B, $A54, Transaction_Log!$A:$A, "&gt;="&amp;DATE(2026,6,1), Transaction_Log!$A:$A, "&lt;="&amp;DATE(2026,6,30))</f>
        <v>0</v>
      </c>
      <c r="I54" s="97">
        <f>SUMIFS(Transaction_Log!$C:$C, Transaction_Log!$B:$B, $A54, Transaction_Log!$A:$A, "&gt;="&amp;DATE(2026,7,1), Transaction_Log!$A:$A, "&lt;="&amp;DATE(2026,7,31))</f>
        <v>0</v>
      </c>
      <c r="J54" s="97">
        <f>SUMIFS(Transaction_Log!$C:$C, Transaction_Log!$B:$B, $A54, Transaction_Log!$A:$A, "&gt;="&amp;DATE(2026,8,1), Transaction_Log!$A:$A, "&lt;="&amp;DATE(2026,8,31))</f>
        <v>0</v>
      </c>
      <c r="K54" s="97">
        <f>SUMIFS(Transaction_Log!$C:$C, Transaction_Log!$B:$B, $A54, Transaction_Log!$A:$A, "&gt;="&amp;DATE(2026,9,1), Transaction_Log!$A:$A, "&lt;="&amp;DATE(2026,9,30))</f>
        <v>0</v>
      </c>
      <c r="L54" s="97">
        <f>SUMIFS(Transaction_Log!$C:$C, Transaction_Log!$B:$B, $A54, Transaction_Log!$A:$A, "&gt;="&amp;DATE(2026,10,1), Transaction_Log!$A:$A, "&lt;="&amp;DATE(2026,10,31))</f>
        <v>0</v>
      </c>
      <c r="M54" s="97">
        <f>SUMIFS(Transaction_Log!$C:$C, Transaction_Log!$B:$B, $A54, Transaction_Log!$A:$A, "&gt;="&amp;DATE(2026,11,1), Transaction_Log!$A:$A, "&lt;="&amp;DATE(2026,11,30))</f>
        <v>0</v>
      </c>
      <c r="N54" s="97">
        <f>SUMIFS(Transaction_Log!$C:$C, Transaction_Log!$B:$B, $A54, Transaction_Log!$A:$A, "&gt;="&amp;DATE(2026,12,1), Transaction_Log!$A:$A, "&lt;="&amp;DATE(2026,12,31))</f>
        <v>0</v>
      </c>
      <c r="O54" s="103">
        <f t="shared" si="1"/>
        <v>9000</v>
      </c>
      <c r="P54" s="99">
        <f>+DashBoard!D53</f>
        <v>0</v>
      </c>
    </row>
    <row r="55" spans="1:16" ht="15.75" customHeight="1" thickBot="1" x14ac:dyDescent="0.3">
      <c r="A55" s="86" t="s">
        <v>127</v>
      </c>
      <c r="B55" s="86"/>
      <c r="C55" s="87">
        <f t="shared" ref="C55:P55" si="2">SUM(C3:C54)</f>
        <v>80500</v>
      </c>
      <c r="D55" s="87">
        <f t="shared" si="2"/>
        <v>147000</v>
      </c>
      <c r="E55" s="87">
        <f t="shared" si="2"/>
        <v>147000</v>
      </c>
      <c r="F55" s="87">
        <f t="shared" si="2"/>
        <v>48000</v>
      </c>
      <c r="G55" s="87">
        <f t="shared" si="2"/>
        <v>154500</v>
      </c>
      <c r="H55" s="98">
        <f t="shared" si="2"/>
        <v>0</v>
      </c>
      <c r="I55" s="98">
        <f t="shared" si="2"/>
        <v>0</v>
      </c>
      <c r="J55" s="98">
        <f t="shared" si="2"/>
        <v>0</v>
      </c>
      <c r="K55" s="98">
        <f t="shared" si="2"/>
        <v>0</v>
      </c>
      <c r="L55" s="98">
        <f t="shared" si="2"/>
        <v>0</v>
      </c>
      <c r="M55" s="98">
        <f t="shared" si="2"/>
        <v>0</v>
      </c>
      <c r="N55" s="98">
        <f t="shared" si="2"/>
        <v>0</v>
      </c>
      <c r="O55" s="104">
        <f t="shared" si="2"/>
        <v>577000</v>
      </c>
      <c r="P55" s="100">
        <f t="shared" si="2"/>
        <v>288500</v>
      </c>
    </row>
  </sheetData>
  <mergeCells count="1">
    <mergeCell ref="A1:O1"/>
  </mergeCells>
  <conditionalFormatting sqref="P3:P54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  <webPublishItems count="1">
    <webPublishItem id="5723" divId="Outstanding Statement of Maintenance Charges _5723" sourceType="sheet" destinationFile="H:\Sarva Mangal\Financials\January May Dashboard\Jan_May 2026_Maintenance Charges_files\Jan_May 2026_Maintenance Charges.html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6"/>
  <sheetViews>
    <sheetView showGridLines="0" topLeftCell="A19" zoomScaleNormal="100" workbookViewId="0">
      <selection activeCell="G41" sqref="G41"/>
    </sheetView>
  </sheetViews>
  <sheetFormatPr defaultColWidth="8.7109375" defaultRowHeight="12.75" x14ac:dyDescent="0.2"/>
  <cols>
    <col min="1" max="1" width="13.140625" customWidth="1"/>
    <col min="2" max="2" width="17.28515625" customWidth="1"/>
    <col min="3" max="3" width="12.28515625" customWidth="1"/>
    <col min="4" max="4" width="16.140625" style="54" customWidth="1"/>
    <col min="5" max="5" width="50.140625" customWidth="1"/>
    <col min="6" max="6" width="13.7109375" customWidth="1"/>
    <col min="7" max="7" width="27.140625" customWidth="1"/>
    <col min="8" max="8" width="16.5703125" customWidth="1"/>
    <col min="9" max="9" width="37" customWidth="1"/>
    <col min="10" max="10" width="39.42578125" customWidth="1"/>
    <col min="11" max="11" width="24.7109375" customWidth="1"/>
  </cols>
  <sheetData>
    <row r="1" spans="1:9" ht="15.75" customHeight="1" x14ac:dyDescent="0.25">
      <c r="A1" s="44" t="s">
        <v>128</v>
      </c>
      <c r="B1" s="44" t="s">
        <v>129</v>
      </c>
      <c r="E1" s="55"/>
      <c r="G1" s="56" t="s">
        <v>130</v>
      </c>
    </row>
    <row r="2" spans="1:9" x14ac:dyDescent="0.2">
      <c r="E2" s="44"/>
    </row>
    <row r="3" spans="1:9" ht="15" customHeight="1" x14ac:dyDescent="0.2">
      <c r="A3" s="44" t="s">
        <v>131</v>
      </c>
      <c r="B3" s="44" t="s">
        <v>132</v>
      </c>
      <c r="C3" s="44" t="s">
        <v>133</v>
      </c>
      <c r="D3" s="57" t="s">
        <v>134</v>
      </c>
      <c r="E3" s="58" t="s">
        <v>111</v>
      </c>
      <c r="G3" s="49" t="s">
        <v>135</v>
      </c>
      <c r="H3" s="59" t="e">
        <f>+Owner_Master!#REF!</f>
        <v>#REF!</v>
      </c>
    </row>
    <row r="4" spans="1:9" ht="15" customHeight="1" x14ac:dyDescent="0.2">
      <c r="A4" s="60" t="s">
        <v>96</v>
      </c>
      <c r="B4" s="61">
        <v>60500</v>
      </c>
      <c r="C4" s="61">
        <v>4500</v>
      </c>
      <c r="D4" s="57">
        <v>56000</v>
      </c>
      <c r="E4" s="44" t="str">
        <f>VLOOKUP(A4, Owner_Master!$A$1:$B$53, 2,FALSE())</f>
        <v>K. Suseela</v>
      </c>
      <c r="G4" s="62" t="s">
        <v>136</v>
      </c>
    </row>
    <row r="5" spans="1:9" ht="15" customHeight="1" x14ac:dyDescent="0.2">
      <c r="A5" s="60" t="s">
        <v>94</v>
      </c>
      <c r="B5" s="61">
        <v>45500</v>
      </c>
      <c r="C5" s="61">
        <v>3000</v>
      </c>
      <c r="D5" s="57">
        <v>42500</v>
      </c>
      <c r="E5" s="44" t="str">
        <f>VLOOKUP(A5, Owner_Master!$A$1:$B$53, 2,FALSE())</f>
        <v>K.Thanikai Arasu</v>
      </c>
      <c r="G5" s="63">
        <v>46023</v>
      </c>
      <c r="H5" s="64">
        <v>78000</v>
      </c>
    </row>
    <row r="6" spans="1:9" ht="15" customHeight="1" x14ac:dyDescent="0.2">
      <c r="A6" s="60" t="s">
        <v>92</v>
      </c>
      <c r="B6" s="61">
        <v>43500</v>
      </c>
      <c r="C6" s="61">
        <v>40000</v>
      </c>
      <c r="D6" s="57">
        <v>3500</v>
      </c>
      <c r="E6" s="44" t="str">
        <f>VLOOKUP(A6, Owner_Master!$A$1:$B$53, 2,FALSE())</f>
        <v>Ganesan &amp; Anitha</v>
      </c>
      <c r="G6" s="63">
        <v>46054</v>
      </c>
      <c r="H6" s="64">
        <v>78000</v>
      </c>
    </row>
    <row r="7" spans="1:9" ht="15" customHeight="1" x14ac:dyDescent="0.2">
      <c r="A7" s="60" t="s">
        <v>90</v>
      </c>
      <c r="B7" s="61">
        <v>40000</v>
      </c>
      <c r="C7" s="61">
        <v>0</v>
      </c>
      <c r="D7" s="57">
        <v>40000</v>
      </c>
      <c r="E7" s="44" t="str">
        <f>VLOOKUP(A7, Owner_Master!$A$1:$B$53, 2,FALSE())</f>
        <v>Gopinath &amp; Mrs Anitha</v>
      </c>
      <c r="G7" s="63">
        <v>46082</v>
      </c>
      <c r="H7" s="64">
        <v>78000</v>
      </c>
    </row>
    <row r="8" spans="1:9" ht="15" customHeight="1" x14ac:dyDescent="0.2">
      <c r="A8" s="60" t="s">
        <v>89</v>
      </c>
      <c r="B8" s="61">
        <v>36000</v>
      </c>
      <c r="C8" s="61">
        <v>22500</v>
      </c>
      <c r="D8" s="57">
        <v>13500</v>
      </c>
      <c r="E8" s="44" t="str">
        <f>VLOOKUP(A8, Owner_Master!$A$1:$B$53, 2,FALSE())</f>
        <v>N.Rajkumar &amp; A.Judith Mary Deepa</v>
      </c>
      <c r="G8" s="49"/>
      <c r="H8" s="65" t="e">
        <f>SUM(H3:H7)</f>
        <v>#REF!</v>
      </c>
    </row>
    <row r="9" spans="1:9" ht="15" customHeight="1" x14ac:dyDescent="0.2">
      <c r="A9" s="60" t="s">
        <v>87</v>
      </c>
      <c r="B9" s="61">
        <v>35500</v>
      </c>
      <c r="C9" s="61">
        <v>0</v>
      </c>
      <c r="D9" s="57">
        <v>35500</v>
      </c>
      <c r="E9" s="44" t="str">
        <f>VLOOKUP(A9, Owner_Master!$A$1:$B$53, 2,FALSE())</f>
        <v>K.Eswari</v>
      </c>
      <c r="G9" s="49"/>
      <c r="H9" s="64"/>
    </row>
    <row r="10" spans="1:9" ht="15" customHeight="1" x14ac:dyDescent="0.2">
      <c r="A10" s="60" t="s">
        <v>85</v>
      </c>
      <c r="B10" s="61">
        <v>31500</v>
      </c>
      <c r="C10" s="61">
        <v>36000</v>
      </c>
      <c r="D10" s="57">
        <v>-4500</v>
      </c>
      <c r="E10" s="44" t="str">
        <f>VLOOKUP(A10, Owner_Master!$A$1:$B$53, 2,FALSE())</f>
        <v>S Krishnamoorthy &amp; Dr D Champa</v>
      </c>
      <c r="G10" s="62" t="s">
        <v>137</v>
      </c>
      <c r="H10" s="64"/>
    </row>
    <row r="11" spans="1:9" ht="15" customHeight="1" x14ac:dyDescent="0.2">
      <c r="A11" s="60" t="s">
        <v>83</v>
      </c>
      <c r="B11" s="61">
        <v>24000</v>
      </c>
      <c r="C11" s="61">
        <v>22500</v>
      </c>
      <c r="D11" s="57">
        <v>1500</v>
      </c>
      <c r="E11" s="44" t="str">
        <f>VLOOKUP(A11, Owner_Master!$A$1:$B$53, 2,FALSE())</f>
        <v xml:space="preserve">K. Ramji </v>
      </c>
      <c r="G11" s="63">
        <v>46023</v>
      </c>
      <c r="H11" s="64">
        <v>80500</v>
      </c>
    </row>
    <row r="12" spans="1:9" ht="15" customHeight="1" x14ac:dyDescent="0.2">
      <c r="A12" s="60" t="s">
        <v>81</v>
      </c>
      <c r="B12" s="61">
        <v>22500</v>
      </c>
      <c r="C12" s="61">
        <v>0</v>
      </c>
      <c r="D12" s="57">
        <v>22500</v>
      </c>
      <c r="E12" s="44" t="str">
        <f>VLOOKUP(A12, Owner_Master!$A$1:$B$53, 2,FALSE())</f>
        <v>N.Rajkumar &amp; A.Judith Mary Deepa</v>
      </c>
      <c r="G12" s="63">
        <v>46054</v>
      </c>
      <c r="H12" s="64">
        <v>147000</v>
      </c>
    </row>
    <row r="13" spans="1:9" ht="15" customHeight="1" x14ac:dyDescent="0.2">
      <c r="A13" s="60" t="s">
        <v>79</v>
      </c>
      <c r="B13" s="61">
        <v>22500</v>
      </c>
      <c r="C13" s="61">
        <v>0</v>
      </c>
      <c r="D13" s="57">
        <v>22500</v>
      </c>
      <c r="E13" s="44" t="str">
        <f>VLOOKUP(A13, Owner_Master!$A$1:$B$53, 2,FALSE())</f>
        <v>Sudhakar &amp; Dhanya</v>
      </c>
      <c r="G13" s="63">
        <v>46082</v>
      </c>
      <c r="H13" s="64">
        <v>58500</v>
      </c>
      <c r="I13" s="49" t="s">
        <v>138</v>
      </c>
    </row>
    <row r="14" spans="1:9" ht="15" customHeight="1" x14ac:dyDescent="0.2">
      <c r="A14" s="60" t="s">
        <v>77</v>
      </c>
      <c r="B14" s="61">
        <v>21500</v>
      </c>
      <c r="C14" s="61">
        <v>0</v>
      </c>
      <c r="D14" s="57">
        <v>21500</v>
      </c>
      <c r="E14" s="44" t="str">
        <f>VLOOKUP(A14, Owner_Master!$A$1:$B$53, 2,FALSE())</f>
        <v xml:space="preserve">Dr. S. Abdhul Salam </v>
      </c>
      <c r="G14" s="49"/>
      <c r="H14" s="65">
        <f>SUM(H11:H13)</f>
        <v>286000</v>
      </c>
    </row>
    <row r="15" spans="1:9" x14ac:dyDescent="0.2">
      <c r="A15" s="60" t="s">
        <v>73</v>
      </c>
      <c r="B15" s="61">
        <v>21000</v>
      </c>
      <c r="C15" s="61">
        <v>12000</v>
      </c>
      <c r="D15" s="57">
        <v>9000</v>
      </c>
      <c r="E15" s="44" t="str">
        <f>VLOOKUP(A15, Owner_Master!$A$1:$B$53, 2,FALSE())</f>
        <v xml:space="preserve">Dr. P.S. Balamurugavel </v>
      </c>
      <c r="G15" s="49"/>
      <c r="H15" s="64"/>
    </row>
    <row r="16" spans="1:9" x14ac:dyDescent="0.2">
      <c r="A16" s="60" t="s">
        <v>75</v>
      </c>
      <c r="B16" s="61">
        <v>21000</v>
      </c>
      <c r="C16" s="61">
        <v>0</v>
      </c>
      <c r="D16" s="57">
        <v>21000</v>
      </c>
      <c r="E16" s="44" t="str">
        <f>VLOOKUP(A16, Owner_Master!$A$1:$B$53, 2,FALSE())</f>
        <v>A.M. Rajkumar &amp; Krishnaveni</v>
      </c>
      <c r="G16" s="49" t="s">
        <v>139</v>
      </c>
      <c r="H16" s="64" t="e">
        <f>+H8-H14</f>
        <v>#REF!</v>
      </c>
    </row>
    <row r="17" spans="1:9" x14ac:dyDescent="0.2">
      <c r="A17" s="60" t="s">
        <v>67</v>
      </c>
      <c r="B17" s="61">
        <v>19500</v>
      </c>
      <c r="C17" s="61">
        <v>0</v>
      </c>
      <c r="D17" s="57">
        <v>19500</v>
      </c>
      <c r="E17" s="44" t="str">
        <f>VLOOKUP(A17, Owner_Master!$A$1:$B$53, 2,FALSE())</f>
        <v>S. Shanthi</v>
      </c>
    </row>
    <row r="18" spans="1:9" x14ac:dyDescent="0.2">
      <c r="A18" s="60" t="s">
        <v>69</v>
      </c>
      <c r="B18" s="61">
        <v>19500</v>
      </c>
      <c r="C18" s="61">
        <v>19500</v>
      </c>
      <c r="D18" s="57">
        <v>0</v>
      </c>
      <c r="E18" s="44" t="str">
        <f>VLOOKUP(A18, Owner_Master!$A$1:$B$53, 2,FALSE())</f>
        <v>Arunkarthick and Dr.Haripraba</v>
      </c>
    </row>
    <row r="19" spans="1:9" x14ac:dyDescent="0.2">
      <c r="A19" s="60" t="s">
        <v>71</v>
      </c>
      <c r="B19" s="61">
        <v>19500</v>
      </c>
      <c r="C19" s="61">
        <v>0</v>
      </c>
      <c r="D19" s="57">
        <v>19500</v>
      </c>
      <c r="E19" s="44" t="str">
        <f>VLOOKUP(A19, Owner_Master!$A$1:$B$53, 2,FALSE())</f>
        <v>Notrayan Srinivasan</v>
      </c>
      <c r="G19" s="49" t="s">
        <v>140</v>
      </c>
    </row>
    <row r="20" spans="1:9" x14ac:dyDescent="0.2">
      <c r="A20" s="60" t="s">
        <v>65</v>
      </c>
      <c r="B20" s="61">
        <v>15500</v>
      </c>
      <c r="C20" s="61">
        <v>15500</v>
      </c>
      <c r="D20" s="57">
        <v>0</v>
      </c>
      <c r="E20" s="44" t="str">
        <f>VLOOKUP(A20, Owner_Master!$A$1:$B$53, 2,FALSE())</f>
        <v>S.Periasamy</v>
      </c>
      <c r="G20" s="49" t="s">
        <v>141</v>
      </c>
    </row>
    <row r="21" spans="1:9" x14ac:dyDescent="0.2">
      <c r="A21" s="60" t="s">
        <v>63</v>
      </c>
      <c r="B21" s="61">
        <v>15000</v>
      </c>
      <c r="C21" s="61">
        <v>15000</v>
      </c>
      <c r="D21" s="57">
        <v>0</v>
      </c>
      <c r="E21" s="44" t="str">
        <f>VLOOKUP(A21, Owner_Master!$A$1:$B$53, 2,FALSE())</f>
        <v>Srinivasan Ramamoorthy/ Srividya Devarajan</v>
      </c>
    </row>
    <row r="22" spans="1:9" x14ac:dyDescent="0.2">
      <c r="A22" s="60" t="s">
        <v>61</v>
      </c>
      <c r="B22" s="61">
        <v>13500</v>
      </c>
      <c r="C22" s="61">
        <v>0</v>
      </c>
      <c r="D22" s="57">
        <v>13500</v>
      </c>
      <c r="E22" s="44" t="str">
        <f>VLOOKUP(A22, Owner_Master!$A$1:$B$53, 2,FALSE())</f>
        <v>Vijayaraghavan &amp; Hema Vijayaraghavan</v>
      </c>
      <c r="G22" s="49" t="s">
        <v>142</v>
      </c>
    </row>
    <row r="23" spans="1:9" x14ac:dyDescent="0.2">
      <c r="A23" s="60" t="s">
        <v>57</v>
      </c>
      <c r="B23" s="61">
        <v>10500</v>
      </c>
      <c r="C23" s="61">
        <v>9000</v>
      </c>
      <c r="D23" s="57">
        <v>1500</v>
      </c>
      <c r="E23" s="44" t="str">
        <f>VLOOKUP(A23, Owner_Master!$A$1:$B$53, 2,FALSE())</f>
        <v>Manikandan Kumar  &amp; Rakeshwari</v>
      </c>
      <c r="G23" s="49" t="s">
        <v>121</v>
      </c>
    </row>
    <row r="24" spans="1:9" x14ac:dyDescent="0.2">
      <c r="A24" s="60" t="s">
        <v>59</v>
      </c>
      <c r="B24" s="61">
        <v>10500</v>
      </c>
      <c r="C24" s="61">
        <v>4500</v>
      </c>
      <c r="D24" s="57">
        <v>6000</v>
      </c>
      <c r="E24" s="44" t="str">
        <f>VLOOKUP(A24, Owner_Master!$A$1:$B$53, 2,FALSE())</f>
        <v xml:space="preserve">N.Muthu Sivasakthi &amp; G.Meera </v>
      </c>
    </row>
    <row r="25" spans="1:9" x14ac:dyDescent="0.2">
      <c r="A25" s="60" t="s">
        <v>53</v>
      </c>
      <c r="B25" s="61">
        <v>9000</v>
      </c>
      <c r="C25" s="61">
        <v>0</v>
      </c>
      <c r="D25" s="57">
        <v>9000</v>
      </c>
      <c r="E25" s="44"/>
    </row>
    <row r="26" spans="1:9" ht="15.75" customHeight="1" x14ac:dyDescent="0.25">
      <c r="A26" s="60" t="s">
        <v>51</v>
      </c>
      <c r="B26" s="61">
        <v>9000</v>
      </c>
      <c r="C26" s="61">
        <v>7500</v>
      </c>
      <c r="D26" s="57">
        <v>1500</v>
      </c>
      <c r="E26" s="44" t="str">
        <f>VLOOKUP(A26, Owner_Master!$A$1:$B$53, 2,FALSE())</f>
        <v>Karthik Krishnan &amp; Dr. Soniya Selvam</v>
      </c>
      <c r="G26" t="s">
        <v>143</v>
      </c>
      <c r="H26" s="66" t="s">
        <v>39</v>
      </c>
      <c r="I26" s="67"/>
    </row>
    <row r="27" spans="1:9" ht="18.75" customHeight="1" x14ac:dyDescent="0.3">
      <c r="A27" s="60" t="s">
        <v>55</v>
      </c>
      <c r="B27" s="61">
        <v>9000</v>
      </c>
      <c r="C27" s="61">
        <v>0</v>
      </c>
      <c r="D27" s="57">
        <v>9000</v>
      </c>
      <c r="E27" s="44" t="str">
        <f>VLOOKUP(A27, Owner_Master!$A$1:$B$53, 2,FALSE())</f>
        <v xml:space="preserve">R.Balaji &amp; S.Venkata Priya </v>
      </c>
      <c r="G27" s="88">
        <v>392500</v>
      </c>
      <c r="H27" s="67"/>
      <c r="I27" s="67"/>
    </row>
    <row r="28" spans="1:9" ht="21" customHeight="1" x14ac:dyDescent="0.35">
      <c r="A28" s="60" t="s">
        <v>49</v>
      </c>
      <c r="B28" s="61">
        <v>7500</v>
      </c>
      <c r="C28" s="61">
        <v>0</v>
      </c>
      <c r="D28" s="57">
        <v>7500</v>
      </c>
      <c r="E28" s="44" t="str">
        <f>VLOOKUP(A28, Owner_Master!$A$1:$B$53, 2,FALSE())</f>
        <v>Dr P Manivannan MD &amp; K.Kalaichelvi IRS Retd</v>
      </c>
      <c r="H28" s="68" t="s">
        <v>144</v>
      </c>
      <c r="I28" s="69" t="s">
        <v>145</v>
      </c>
    </row>
    <row r="29" spans="1:9" ht="18.75" customHeight="1" x14ac:dyDescent="0.3">
      <c r="A29" s="60" t="s">
        <v>45</v>
      </c>
      <c r="B29" s="61">
        <v>7500</v>
      </c>
      <c r="C29" s="61">
        <v>6000</v>
      </c>
      <c r="D29" s="57">
        <v>1500</v>
      </c>
      <c r="E29" s="44" t="str">
        <f>VLOOKUP(A29, Owner_Master!$A$1:$B$53, 2,FALSE())</f>
        <v>D. Abhimanyu &amp; Amrutha Abhimanyu</v>
      </c>
      <c r="H29" s="70">
        <f>VLOOKUP(H26,DashBoard!$A$1:$D$53,4,FALSE())</f>
        <v>1500</v>
      </c>
      <c r="I29" s="71" t="str">
        <f>VLOOKUP(H26,Owner_Master!$A$1:$B$53,2,FALSE())</f>
        <v>Thejaswini &amp; Mahadeva Swamy</v>
      </c>
    </row>
    <row r="30" spans="1:9" x14ac:dyDescent="0.2">
      <c r="A30" s="60" t="s">
        <v>47</v>
      </c>
      <c r="B30" s="61">
        <v>7500</v>
      </c>
      <c r="C30" s="61">
        <v>3000</v>
      </c>
      <c r="D30" s="57">
        <v>4500</v>
      </c>
      <c r="E30" s="44" t="str">
        <f>VLOOKUP(A30, Owner_Master!$A$1:$B$53, 2,FALSE())</f>
        <v>N.Naveenkumar &amp; G.Mahalakshmi</v>
      </c>
    </row>
    <row r="31" spans="1:9" x14ac:dyDescent="0.2">
      <c r="A31" s="60" t="s">
        <v>43</v>
      </c>
      <c r="B31" s="61">
        <v>6500</v>
      </c>
      <c r="C31" s="61">
        <v>7000</v>
      </c>
      <c r="D31" s="57">
        <v>-500</v>
      </c>
      <c r="E31" s="44" t="str">
        <f>VLOOKUP(A31, Owner_Master!$A$1:$B$53, 2,FALSE())</f>
        <v xml:space="preserve">Maruthachlamurthi </v>
      </c>
    </row>
    <row r="32" spans="1:9" x14ac:dyDescent="0.2">
      <c r="A32" s="60" t="s">
        <v>39</v>
      </c>
      <c r="B32" s="61">
        <v>6000</v>
      </c>
      <c r="C32" s="61">
        <v>4500</v>
      </c>
      <c r="D32" s="57">
        <v>1500</v>
      </c>
      <c r="E32" s="44" t="str">
        <f>VLOOKUP(A32, Owner_Master!$A$1:$B$53, 2,FALSE())</f>
        <v>Thejaswini &amp; Mahadeva Swamy</v>
      </c>
    </row>
    <row r="33" spans="1:5" x14ac:dyDescent="0.2">
      <c r="A33" s="60" t="s">
        <v>31</v>
      </c>
      <c r="B33" s="61">
        <v>6000</v>
      </c>
      <c r="C33" s="61">
        <v>0</v>
      </c>
      <c r="D33" s="57">
        <v>6000</v>
      </c>
      <c r="E33" s="44" t="str">
        <f>VLOOKUP(A33, Owner_Master!$A$1:$B$53, 2,FALSE())</f>
        <v xml:space="preserve">Aishwarya Anandanathan </v>
      </c>
    </row>
    <row r="34" spans="1:5" x14ac:dyDescent="0.2">
      <c r="A34" s="60" t="s">
        <v>29</v>
      </c>
      <c r="B34" s="61">
        <v>6000</v>
      </c>
      <c r="C34" s="61">
        <v>1500</v>
      </c>
      <c r="D34" s="57">
        <v>4500</v>
      </c>
      <c r="E34" s="44" t="str">
        <f>VLOOKUP(A34, Owner_Master!$A$1:$B$53, 2,FALSE())</f>
        <v>Shyamala Krishnan</v>
      </c>
    </row>
    <row r="35" spans="1:5" x14ac:dyDescent="0.2">
      <c r="A35" s="60" t="s">
        <v>37</v>
      </c>
      <c r="B35" s="61">
        <v>6000</v>
      </c>
      <c r="C35" s="61">
        <v>0</v>
      </c>
      <c r="D35" s="57">
        <v>6000</v>
      </c>
      <c r="E35" s="44" t="str">
        <f>VLOOKUP(A35, Owner_Master!$A$1:$B$53, 2,FALSE())</f>
        <v>Dr Shreesha Kumar K</v>
      </c>
    </row>
    <row r="36" spans="1:5" x14ac:dyDescent="0.2">
      <c r="A36" s="60" t="s">
        <v>33</v>
      </c>
      <c r="B36" s="61">
        <v>6000</v>
      </c>
      <c r="C36" s="61">
        <v>6000</v>
      </c>
      <c r="D36" s="57">
        <v>0</v>
      </c>
      <c r="E36" s="44" t="str">
        <f>VLOOKUP(A36, Owner_Master!$A$1:$B$53, 2,FALSE())</f>
        <v>Selvendran Ayyaswamy</v>
      </c>
    </row>
    <row r="37" spans="1:5" x14ac:dyDescent="0.2">
      <c r="A37" s="60" t="s">
        <v>35</v>
      </c>
      <c r="B37" s="61">
        <v>6000</v>
      </c>
      <c r="C37" s="61">
        <v>0</v>
      </c>
      <c r="D37" s="57">
        <v>6000</v>
      </c>
      <c r="E37" s="44" t="str">
        <f>VLOOKUP(A37, Owner_Master!$A$1:$B$53, 2,FALSE())</f>
        <v>Hari Narayan Prasad</v>
      </c>
    </row>
    <row r="38" spans="1:5" x14ac:dyDescent="0.2">
      <c r="A38" s="60" t="s">
        <v>41</v>
      </c>
      <c r="B38" s="61">
        <v>6000</v>
      </c>
      <c r="C38" s="61">
        <v>4500</v>
      </c>
      <c r="D38" s="57">
        <v>1500</v>
      </c>
      <c r="E38" s="44" t="str">
        <f>VLOOKUP(A38, Owner_Master!$A$1:$B$53, 2,FALSE())</f>
        <v>Lt.Col Vimla VR (Retd)</v>
      </c>
    </row>
    <row r="39" spans="1:5" x14ac:dyDescent="0.2">
      <c r="A39" s="60" t="s">
        <v>27</v>
      </c>
      <c r="B39" s="61">
        <v>4500</v>
      </c>
      <c r="C39" s="61">
        <v>3000</v>
      </c>
      <c r="D39" s="57">
        <v>1500</v>
      </c>
      <c r="E39" s="44" t="str">
        <f>VLOOKUP(A39, Owner_Master!$A$1:$B$53, 2,FALSE())</f>
        <v>Rajesh Babu Krishnan</v>
      </c>
    </row>
    <row r="40" spans="1:5" x14ac:dyDescent="0.2">
      <c r="A40" s="60" t="s">
        <v>17</v>
      </c>
      <c r="B40" s="61">
        <v>4500</v>
      </c>
      <c r="C40" s="61">
        <v>3000</v>
      </c>
      <c r="D40" s="57">
        <v>1500</v>
      </c>
      <c r="E40" s="44" t="str">
        <f>VLOOKUP(A40, Owner_Master!$A$1:$B$53, 2,FALSE())</f>
        <v xml:space="preserve">S.Rajeswari </v>
      </c>
    </row>
    <row r="41" spans="1:5" x14ac:dyDescent="0.2">
      <c r="A41" s="60" t="s">
        <v>15</v>
      </c>
      <c r="B41" s="61">
        <v>4500</v>
      </c>
      <c r="C41" s="61">
        <v>3000</v>
      </c>
      <c r="D41" s="57">
        <v>1500</v>
      </c>
      <c r="E41" s="44" t="str">
        <f>VLOOKUP(A41, Owner_Master!$A$1:$B$53, 2,FALSE())</f>
        <v>S.V. Sanjeev Kumar</v>
      </c>
    </row>
    <row r="42" spans="1:5" x14ac:dyDescent="0.2">
      <c r="A42" s="60" t="s">
        <v>21</v>
      </c>
      <c r="B42" s="61">
        <v>4500</v>
      </c>
      <c r="C42" s="61">
        <v>0</v>
      </c>
      <c r="D42" s="57">
        <v>4500</v>
      </c>
      <c r="E42" s="44" t="str">
        <f>VLOOKUP(A42, Owner_Master!$A$1:$B$53, 2,FALSE())</f>
        <v>G.Dachinamoorthy &amp; Pinky Moorthy &amp; DP Mohit</v>
      </c>
    </row>
    <row r="43" spans="1:5" x14ac:dyDescent="0.2">
      <c r="A43" s="60" t="s">
        <v>25</v>
      </c>
      <c r="B43" s="61">
        <v>4500</v>
      </c>
      <c r="C43" s="61">
        <v>4500</v>
      </c>
      <c r="D43" s="57">
        <v>0</v>
      </c>
      <c r="E43" s="44" t="str">
        <f>VLOOKUP(A43, Owner_Master!$A$1:$B$53, 2,FALSE())</f>
        <v xml:space="preserve">Sivaramakrishnan </v>
      </c>
    </row>
    <row r="44" spans="1:5" x14ac:dyDescent="0.2">
      <c r="A44" s="60" t="s">
        <v>23</v>
      </c>
      <c r="B44" s="61">
        <v>4500</v>
      </c>
      <c r="C44" s="61">
        <v>1500</v>
      </c>
      <c r="D44" s="57">
        <v>3000</v>
      </c>
      <c r="E44" s="44" t="str">
        <f>VLOOKUP(A44, Owner_Master!$A$1:$B$53, 2,FALSE())</f>
        <v>Raja &amp; Chitra</v>
      </c>
    </row>
    <row r="45" spans="1:5" x14ac:dyDescent="0.2">
      <c r="A45" s="60" t="s">
        <v>19</v>
      </c>
      <c r="B45" s="61">
        <v>4500</v>
      </c>
      <c r="C45" s="61">
        <v>3000</v>
      </c>
      <c r="D45" s="57">
        <v>1500</v>
      </c>
      <c r="E45" s="44" t="str">
        <f>VLOOKUP(A45, Owner_Master!$A$1:$B$53, 2,FALSE())</f>
        <v xml:space="preserve">Bhagath </v>
      </c>
    </row>
    <row r="46" spans="1:5" x14ac:dyDescent="0.2">
      <c r="A46" s="60" t="s">
        <v>9</v>
      </c>
      <c r="B46" s="61">
        <v>4500</v>
      </c>
      <c r="C46" s="61">
        <v>3000</v>
      </c>
      <c r="D46" s="57">
        <v>1500</v>
      </c>
      <c r="E46" s="44" t="str">
        <f>VLOOKUP(A46, Owner_Master!$A$1:$B$53, 2,FALSE())</f>
        <v>Latish Babu</v>
      </c>
    </row>
    <row r="47" spans="1:5" x14ac:dyDescent="0.2">
      <c r="A47" s="60" t="s">
        <v>5</v>
      </c>
      <c r="B47" s="61">
        <v>4500</v>
      </c>
      <c r="C47" s="61">
        <v>3000</v>
      </c>
      <c r="D47" s="57">
        <v>1500</v>
      </c>
      <c r="E47" s="44" t="str">
        <f>VLOOKUP(A47, Owner_Master!$A$1:$B$53, 2,FALSE())</f>
        <v xml:space="preserve">Balamurugan </v>
      </c>
    </row>
    <row r="48" spans="1:5" x14ac:dyDescent="0.2">
      <c r="A48" s="60" t="s">
        <v>13</v>
      </c>
      <c r="B48" s="61">
        <v>4500</v>
      </c>
      <c r="C48" s="61">
        <v>4500</v>
      </c>
      <c r="D48" s="57">
        <v>0</v>
      </c>
      <c r="E48" s="44" t="str">
        <f>VLOOKUP(A48, Owner_Master!$A$1:$B$53, 2,FALSE())</f>
        <v>M .Kalaivani Chandramohan</v>
      </c>
    </row>
    <row r="49" spans="1:5" x14ac:dyDescent="0.2">
      <c r="A49" s="60" t="s">
        <v>11</v>
      </c>
      <c r="B49" s="61">
        <v>4500</v>
      </c>
      <c r="C49" s="61">
        <v>4500</v>
      </c>
      <c r="D49" s="57">
        <v>0</v>
      </c>
      <c r="E49" s="44" t="str">
        <f>VLOOKUP(A49, Owner_Master!$A$1:$B$53, 2,FALSE())</f>
        <v xml:space="preserve">Malathy Sundaram </v>
      </c>
    </row>
    <row r="50" spans="1:5" x14ac:dyDescent="0.2">
      <c r="A50" s="60" t="s">
        <v>7</v>
      </c>
      <c r="B50" s="61">
        <v>4500</v>
      </c>
      <c r="C50" s="61">
        <v>3000</v>
      </c>
      <c r="D50" s="57">
        <v>1500</v>
      </c>
      <c r="E50" s="44" t="str">
        <f>VLOOKUP(A50, Owner_Master!$A$1:$B$53, 2,FALSE())</f>
        <v>R.Chetan Kumar</v>
      </c>
    </row>
    <row r="51" spans="1:5" x14ac:dyDescent="0.2">
      <c r="A51" s="60" t="s">
        <v>106</v>
      </c>
      <c r="B51" s="61">
        <v>4000</v>
      </c>
      <c r="C51" s="61">
        <v>0</v>
      </c>
      <c r="D51" s="57">
        <v>4000</v>
      </c>
      <c r="E51" s="44" t="str">
        <f>VLOOKUP(A51, Owner_Master!$A$1:$B$53, 2,FALSE())</f>
        <v xml:space="preserve">C.Narayanan </v>
      </c>
    </row>
    <row r="52" spans="1:5" x14ac:dyDescent="0.2">
      <c r="A52" s="60" t="s">
        <v>102</v>
      </c>
      <c r="B52" s="61">
        <v>3000</v>
      </c>
      <c r="C52" s="61">
        <v>3000</v>
      </c>
      <c r="D52" s="57">
        <v>0</v>
      </c>
      <c r="E52" s="44" t="str">
        <f>VLOOKUP(A52, Owner_Master!$A$1:$B$53, 2,FALSE())</f>
        <v xml:space="preserve">Dr G.K.Kiran Adithya </v>
      </c>
    </row>
    <row r="53" spans="1:5" x14ac:dyDescent="0.2">
      <c r="A53" s="60" t="s">
        <v>104</v>
      </c>
      <c r="B53" s="61">
        <v>3000</v>
      </c>
      <c r="C53" s="61">
        <v>3000</v>
      </c>
      <c r="D53" s="57">
        <v>0</v>
      </c>
      <c r="E53" s="44" t="str">
        <f>VLOOKUP(A53, Owner_Master!$A$1:$B$53, 2,FALSE())</f>
        <v>N. Jaya</v>
      </c>
    </row>
    <row r="54" spans="1:5" x14ac:dyDescent="0.2">
      <c r="A54" s="60" t="s">
        <v>100</v>
      </c>
      <c r="B54" s="61">
        <v>0</v>
      </c>
      <c r="C54" s="61">
        <v>0</v>
      </c>
      <c r="D54" s="57">
        <v>0</v>
      </c>
      <c r="E54" s="44" t="str">
        <f>VLOOKUP(A54, Owner_Master!$A$1:$B$53, 2,FALSE())</f>
        <v>Narasimhan Nagarajan</v>
      </c>
    </row>
    <row r="55" spans="1:5" x14ac:dyDescent="0.2">
      <c r="A55" s="60" t="s">
        <v>98</v>
      </c>
      <c r="B55" s="61">
        <v>-1500</v>
      </c>
      <c r="C55" s="61">
        <v>0</v>
      </c>
      <c r="D55" s="57">
        <v>-1500</v>
      </c>
      <c r="E55" s="44" t="str">
        <f>VLOOKUP(A55, Owner_Master!$A$1:$B$53, 2,FALSE())</f>
        <v xml:space="preserve">Vishwanath Mohan </v>
      </c>
    </row>
    <row r="56" spans="1:5" x14ac:dyDescent="0.2">
      <c r="A56" s="60" t="s">
        <v>146</v>
      </c>
      <c r="B56" s="61">
        <v>709000</v>
      </c>
      <c r="C56" s="61">
        <v>286000</v>
      </c>
      <c r="D56" s="57">
        <v>423000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/>
  </sheetViews>
  <sheetFormatPr defaultRowHeight="12.75" x14ac:dyDescent="0.2"/>
  <sheetData>
    <row r="1" spans="1:8" ht="15" customHeight="1" x14ac:dyDescent="0.2">
      <c r="A1" s="82"/>
      <c r="B1" s="82"/>
      <c r="C1" s="82"/>
      <c r="D1" s="82"/>
      <c r="E1" s="82"/>
      <c r="F1" s="82"/>
      <c r="G1" s="82"/>
    </row>
    <row r="2" spans="1:8" ht="15" customHeight="1" x14ac:dyDescent="0.2">
      <c r="A2" s="78"/>
      <c r="B2" s="78"/>
      <c r="C2" s="78"/>
      <c r="D2" s="78"/>
      <c r="E2" s="78"/>
      <c r="F2" s="78"/>
      <c r="G2" s="78"/>
      <c r="H2" s="76"/>
    </row>
    <row r="3" spans="1:8" ht="15" customHeight="1" x14ac:dyDescent="0.2">
      <c r="A3" s="78"/>
      <c r="B3" s="78"/>
      <c r="C3" s="78"/>
      <c r="D3" s="78"/>
      <c r="E3" s="78"/>
      <c r="F3" s="78"/>
      <c r="G3" s="78"/>
      <c r="H3" s="76"/>
    </row>
    <row r="4" spans="1:8" ht="15" customHeight="1" x14ac:dyDescent="0.2">
      <c r="A4" s="78"/>
      <c r="B4" s="78"/>
      <c r="C4" s="78"/>
      <c r="D4" s="78"/>
      <c r="E4" s="78"/>
      <c r="F4" s="78"/>
      <c r="G4" s="78"/>
      <c r="H4" s="76"/>
    </row>
    <row r="5" spans="1:8" ht="15" customHeight="1" x14ac:dyDescent="0.2">
      <c r="A5" s="78"/>
      <c r="B5" s="78"/>
      <c r="C5" s="78"/>
      <c r="D5" s="78"/>
      <c r="E5" s="78"/>
      <c r="F5" s="78"/>
      <c r="G5" s="78"/>
      <c r="H5" s="76"/>
    </row>
    <row r="6" spans="1:8" ht="15" customHeight="1" x14ac:dyDescent="0.2">
      <c r="A6" s="78"/>
      <c r="B6" s="78"/>
      <c r="C6" s="78"/>
      <c r="D6" s="78"/>
      <c r="E6" s="78"/>
      <c r="F6" s="78"/>
      <c r="G6" s="78"/>
      <c r="H6" s="76"/>
    </row>
    <row r="7" spans="1:8" ht="15" customHeight="1" x14ac:dyDescent="0.2">
      <c r="A7" s="78"/>
      <c r="B7" s="78"/>
      <c r="C7" s="78"/>
      <c r="D7" s="78"/>
      <c r="E7" s="78"/>
      <c r="F7" s="78"/>
      <c r="G7" s="78"/>
      <c r="H7" s="76"/>
    </row>
    <row r="8" spans="1:8" ht="15" customHeight="1" x14ac:dyDescent="0.2">
      <c r="A8" s="78"/>
      <c r="B8" s="78"/>
      <c r="C8" s="78"/>
      <c r="D8" s="78"/>
      <c r="E8" s="78"/>
      <c r="F8" s="78"/>
      <c r="G8" s="78"/>
      <c r="H8" s="76"/>
    </row>
    <row r="9" spans="1:8" ht="15" customHeight="1" x14ac:dyDescent="0.2">
      <c r="A9" s="78"/>
      <c r="B9" s="78"/>
      <c r="C9" s="78"/>
      <c r="D9" s="78"/>
      <c r="E9" s="78"/>
      <c r="F9" s="78"/>
      <c r="G9" s="78"/>
      <c r="H9" s="76"/>
    </row>
    <row r="10" spans="1:8" ht="15" customHeight="1" x14ac:dyDescent="0.2">
      <c r="A10" s="78"/>
      <c r="B10" s="78"/>
      <c r="C10" s="78"/>
      <c r="D10" s="78"/>
      <c r="E10" s="78"/>
      <c r="F10" s="78"/>
      <c r="G10" s="78"/>
      <c r="H10" s="76"/>
    </row>
    <row r="11" spans="1:8" ht="15" customHeight="1" x14ac:dyDescent="0.2">
      <c r="A11" s="78"/>
      <c r="B11" s="78"/>
      <c r="C11" s="78"/>
      <c r="D11" s="78"/>
      <c r="E11" s="78"/>
      <c r="F11" s="78"/>
      <c r="G11" s="78"/>
      <c r="H11" s="76"/>
    </row>
    <row r="12" spans="1:8" ht="15" customHeight="1" x14ac:dyDescent="0.2">
      <c r="A12" s="78"/>
      <c r="B12" s="78"/>
      <c r="C12" s="78"/>
      <c r="D12" s="78"/>
      <c r="E12" s="78"/>
      <c r="F12" s="78"/>
      <c r="G12" s="78"/>
      <c r="H12" s="76"/>
    </row>
    <row r="13" spans="1:8" ht="15" customHeight="1" x14ac:dyDescent="0.2">
      <c r="A13" s="78"/>
      <c r="B13" s="78"/>
      <c r="C13" s="78"/>
      <c r="D13" s="78"/>
      <c r="E13" s="78"/>
      <c r="F13" s="78"/>
      <c r="G13" s="78"/>
      <c r="H13" s="76"/>
    </row>
    <row r="14" spans="1:8" ht="15" customHeight="1" x14ac:dyDescent="0.2">
      <c r="A14" s="78"/>
      <c r="B14" s="78"/>
      <c r="C14" s="78"/>
      <c r="D14" s="78"/>
      <c r="E14" s="78"/>
      <c r="F14" s="78"/>
      <c r="G14" s="78"/>
      <c r="H14" s="76"/>
    </row>
    <row r="15" spans="1:8" ht="15" customHeight="1" x14ac:dyDescent="0.2">
      <c r="A15" s="78"/>
      <c r="B15" s="78"/>
      <c r="C15" s="78"/>
      <c r="D15" s="78"/>
      <c r="E15" s="78"/>
      <c r="F15" s="78"/>
      <c r="G15" s="78"/>
      <c r="H15" s="76"/>
    </row>
    <row r="16" spans="1:8" ht="15" customHeight="1" x14ac:dyDescent="0.2">
      <c r="A16" s="78"/>
      <c r="B16" s="78"/>
      <c r="C16" s="78"/>
      <c r="D16" s="78"/>
      <c r="E16" s="78"/>
      <c r="F16" s="78"/>
      <c r="G16" s="78"/>
      <c r="H16" s="76"/>
    </row>
    <row r="17" spans="1:8" ht="15" customHeight="1" x14ac:dyDescent="0.2">
      <c r="A17" s="78"/>
      <c r="B17" s="78"/>
      <c r="C17" s="78"/>
      <c r="D17" s="78"/>
      <c r="E17" s="78"/>
      <c r="F17" s="78"/>
      <c r="G17" s="78"/>
      <c r="H17" s="76"/>
    </row>
    <row r="18" spans="1:8" ht="15" customHeight="1" x14ac:dyDescent="0.2">
      <c r="A18" s="78"/>
      <c r="B18" s="78"/>
      <c r="C18" s="78"/>
      <c r="D18" s="78"/>
      <c r="E18" s="78"/>
      <c r="F18" s="78"/>
      <c r="G18" s="78"/>
      <c r="H18" s="76"/>
    </row>
    <row r="19" spans="1:8" ht="15" customHeight="1" x14ac:dyDescent="0.2">
      <c r="A19" s="78"/>
      <c r="B19" s="78"/>
      <c r="C19" s="78"/>
      <c r="D19" s="78"/>
      <c r="E19" s="78"/>
      <c r="F19" s="78"/>
      <c r="G19" s="78"/>
      <c r="H19" s="76"/>
    </row>
    <row r="20" spans="1:8" ht="15" customHeight="1" x14ac:dyDescent="0.2">
      <c r="A20" s="78"/>
      <c r="B20" s="78"/>
      <c r="C20" s="78"/>
      <c r="D20" s="78"/>
      <c r="E20" s="78"/>
      <c r="F20" s="78"/>
      <c r="G20" s="78"/>
      <c r="H20" s="76"/>
    </row>
    <row r="21" spans="1:8" ht="15" customHeight="1" x14ac:dyDescent="0.2">
      <c r="A21" s="78"/>
      <c r="B21" s="78"/>
      <c r="C21" s="78"/>
      <c r="D21" s="78"/>
      <c r="E21" s="78"/>
      <c r="F21" s="78"/>
      <c r="G21" s="78"/>
      <c r="H21" s="76"/>
    </row>
    <row r="22" spans="1:8" ht="15" customHeight="1" x14ac:dyDescent="0.2">
      <c r="A22" s="78"/>
      <c r="B22" s="78"/>
      <c r="C22" s="78"/>
      <c r="D22" s="78"/>
      <c r="E22" s="78"/>
      <c r="F22" s="78"/>
      <c r="G22" s="78"/>
      <c r="H22" s="76"/>
    </row>
    <row r="23" spans="1:8" ht="15" customHeight="1" x14ac:dyDescent="0.2">
      <c r="A23" s="78"/>
      <c r="B23" s="78"/>
      <c r="C23" s="78"/>
      <c r="D23" s="78"/>
      <c r="E23" s="78"/>
      <c r="F23" s="78"/>
      <c r="G23" s="78"/>
      <c r="H23" s="76"/>
    </row>
    <row r="24" spans="1:8" ht="15" customHeight="1" x14ac:dyDescent="0.2">
      <c r="A24" s="78"/>
      <c r="B24" s="78"/>
      <c r="C24" s="78"/>
      <c r="D24" s="78"/>
      <c r="E24" s="78"/>
      <c r="F24" s="78"/>
      <c r="G24" s="78"/>
      <c r="H24" s="76"/>
    </row>
    <row r="25" spans="1:8" ht="15" customHeight="1" x14ac:dyDescent="0.2">
      <c r="A25" s="78"/>
      <c r="B25" s="78"/>
      <c r="C25" s="78"/>
      <c r="D25" s="78"/>
      <c r="E25" s="78"/>
      <c r="F25" s="78"/>
      <c r="G25" s="78"/>
      <c r="H25" s="76"/>
    </row>
    <row r="26" spans="1:8" ht="15" customHeight="1" x14ac:dyDescent="0.2">
      <c r="A26" s="78"/>
      <c r="B26" s="78"/>
      <c r="C26" s="78"/>
      <c r="D26" s="78"/>
      <c r="E26" s="78"/>
      <c r="F26" s="78"/>
      <c r="G26" s="78"/>
      <c r="H26" s="76"/>
    </row>
    <row r="27" spans="1:8" ht="15" customHeight="1" x14ac:dyDescent="0.2">
      <c r="A27" s="78"/>
      <c r="B27" s="78"/>
      <c r="C27" s="78"/>
      <c r="D27" s="78"/>
      <c r="E27" s="78"/>
      <c r="F27" s="78"/>
      <c r="G27" s="78"/>
      <c r="H27" s="76"/>
    </row>
    <row r="28" spans="1:8" ht="15" customHeight="1" x14ac:dyDescent="0.2">
      <c r="A28" s="78"/>
      <c r="B28" s="78"/>
      <c r="C28" s="78"/>
      <c r="D28" s="78"/>
      <c r="E28" s="78"/>
      <c r="F28" s="78"/>
      <c r="G28" s="78"/>
      <c r="H28" s="76"/>
    </row>
    <row r="29" spans="1:8" ht="15" customHeight="1" x14ac:dyDescent="0.2">
      <c r="A29" s="78"/>
      <c r="B29" s="78"/>
      <c r="C29" s="78"/>
      <c r="D29" s="78"/>
      <c r="E29" s="78"/>
      <c r="F29" s="78"/>
      <c r="G29" s="78"/>
      <c r="H29" s="76"/>
    </row>
    <row r="30" spans="1:8" ht="15" customHeight="1" x14ac:dyDescent="0.2">
      <c r="A30" s="78"/>
      <c r="B30" s="78"/>
      <c r="C30" s="78"/>
      <c r="D30" s="78"/>
      <c r="E30" s="78"/>
      <c r="F30" s="78"/>
      <c r="G30" s="78"/>
      <c r="H30" s="76"/>
    </row>
    <row r="31" spans="1:8" ht="15" customHeight="1" x14ac:dyDescent="0.2">
      <c r="A31" s="78"/>
      <c r="B31" s="78"/>
      <c r="C31" s="78"/>
      <c r="D31" s="78"/>
      <c r="E31" s="78"/>
      <c r="F31" s="78"/>
      <c r="G31" s="78"/>
      <c r="H31" s="76"/>
    </row>
    <row r="32" spans="1:8" ht="15" customHeight="1" x14ac:dyDescent="0.2">
      <c r="A32" s="78"/>
      <c r="B32" s="78"/>
      <c r="C32" s="78"/>
      <c r="D32" s="78"/>
      <c r="E32" s="78"/>
      <c r="F32" s="78"/>
      <c r="G32" s="78"/>
      <c r="H32" s="76"/>
    </row>
    <row r="33" spans="1:8" ht="15" customHeight="1" x14ac:dyDescent="0.2">
      <c r="A33" s="78"/>
      <c r="B33" s="78"/>
      <c r="C33" s="78"/>
      <c r="D33" s="78"/>
      <c r="E33" s="78"/>
      <c r="F33" s="78"/>
      <c r="G33" s="78"/>
      <c r="H33" s="76"/>
    </row>
    <row r="34" spans="1:8" ht="15" customHeight="1" x14ac:dyDescent="0.2">
      <c r="A34" s="78"/>
      <c r="B34" s="78"/>
      <c r="C34" s="78"/>
      <c r="D34" s="78"/>
      <c r="E34" s="78"/>
      <c r="F34" s="78"/>
      <c r="G34" s="78"/>
      <c r="H34" s="76"/>
    </row>
    <row r="35" spans="1:8" ht="15" customHeight="1" x14ac:dyDescent="0.2">
      <c r="A35" s="78"/>
      <c r="B35" s="78"/>
      <c r="C35" s="78"/>
      <c r="D35" s="78"/>
      <c r="E35" s="78"/>
      <c r="F35" s="78"/>
      <c r="G35" s="78"/>
      <c r="H35" s="76"/>
    </row>
    <row r="36" spans="1:8" ht="15" customHeight="1" x14ac:dyDescent="0.2">
      <c r="A36" s="78"/>
      <c r="B36" s="78"/>
      <c r="C36" s="78"/>
      <c r="D36" s="78"/>
      <c r="E36" s="78"/>
      <c r="F36" s="78"/>
      <c r="G36" s="78"/>
      <c r="H36" s="76"/>
    </row>
    <row r="37" spans="1:8" ht="15" customHeight="1" x14ac:dyDescent="0.2">
      <c r="A37" s="78"/>
      <c r="B37" s="78"/>
      <c r="C37" s="78"/>
      <c r="D37" s="78"/>
      <c r="E37" s="78"/>
      <c r="F37" s="78"/>
      <c r="G37" s="78"/>
      <c r="H37" s="76"/>
    </row>
    <row r="38" spans="1:8" ht="15" customHeight="1" x14ac:dyDescent="0.2">
      <c r="A38" s="78"/>
      <c r="B38" s="78"/>
      <c r="C38" s="78"/>
      <c r="D38" s="78"/>
      <c r="E38" s="78"/>
      <c r="F38" s="78"/>
      <c r="G38" s="78"/>
      <c r="H38" s="76"/>
    </row>
    <row r="39" spans="1:8" ht="15" customHeight="1" x14ac:dyDescent="0.2">
      <c r="A39" s="78"/>
      <c r="B39" s="78"/>
      <c r="C39" s="78"/>
      <c r="D39" s="78"/>
      <c r="E39" s="78"/>
      <c r="F39" s="78"/>
      <c r="G39" s="78"/>
      <c r="H39" s="76"/>
    </row>
    <row r="40" spans="1:8" ht="15" customHeight="1" x14ac:dyDescent="0.2">
      <c r="A40" s="78"/>
      <c r="B40" s="78"/>
      <c r="C40" s="78"/>
      <c r="D40" s="78"/>
      <c r="E40" s="78"/>
      <c r="F40" s="78"/>
      <c r="G40" s="78"/>
      <c r="H40" s="76"/>
    </row>
    <row r="41" spans="1:8" ht="15" customHeight="1" x14ac:dyDescent="0.2">
      <c r="A41" s="78"/>
      <c r="B41" s="78"/>
      <c r="C41" s="78"/>
      <c r="D41" s="78"/>
      <c r="E41" s="78"/>
      <c r="F41" s="78"/>
      <c r="G41" s="78"/>
      <c r="H41" s="76"/>
    </row>
    <row r="42" spans="1:8" ht="15" customHeight="1" x14ac:dyDescent="0.2">
      <c r="A42" s="78"/>
      <c r="B42" s="78"/>
      <c r="C42" s="78"/>
      <c r="D42" s="78"/>
      <c r="E42" s="78"/>
      <c r="F42" s="78"/>
      <c r="G42" s="78"/>
      <c r="H42" s="76"/>
    </row>
    <row r="43" spans="1:8" ht="15" customHeight="1" x14ac:dyDescent="0.2">
      <c r="A43" s="78"/>
      <c r="B43" s="78"/>
      <c r="C43" s="78"/>
      <c r="D43" s="78"/>
      <c r="E43" s="78"/>
      <c r="F43" s="78"/>
      <c r="G43" s="78"/>
      <c r="H43" s="76"/>
    </row>
    <row r="44" spans="1:8" ht="15" customHeight="1" x14ac:dyDescent="0.2">
      <c r="A44" s="78"/>
      <c r="B44" s="78"/>
      <c r="C44" s="78"/>
      <c r="D44" s="78"/>
      <c r="E44" s="78"/>
      <c r="F44" s="78"/>
      <c r="G44" s="78"/>
      <c r="H44" s="76"/>
    </row>
    <row r="45" spans="1:8" ht="15" customHeight="1" x14ac:dyDescent="0.2">
      <c r="A45" s="78"/>
      <c r="B45" s="78"/>
      <c r="C45" s="78"/>
      <c r="D45" s="78"/>
      <c r="E45" s="78"/>
      <c r="F45" s="78"/>
      <c r="G45" s="78"/>
      <c r="H45" s="76"/>
    </row>
    <row r="46" spans="1:8" ht="15" customHeight="1" x14ac:dyDescent="0.2">
      <c r="A46" s="78"/>
      <c r="B46" s="78"/>
      <c r="C46" s="78"/>
      <c r="D46" s="78"/>
      <c r="E46" s="78"/>
      <c r="F46" s="78"/>
      <c r="G46" s="78"/>
      <c r="H46" s="76"/>
    </row>
    <row r="47" spans="1:8" ht="15" customHeight="1" x14ac:dyDescent="0.2">
      <c r="A47" s="78"/>
      <c r="B47" s="78"/>
      <c r="C47" s="78"/>
      <c r="D47" s="78"/>
      <c r="E47" s="78"/>
      <c r="F47" s="78"/>
      <c r="G47" s="78"/>
      <c r="H47" s="76"/>
    </row>
    <row r="48" spans="1:8" ht="15" customHeight="1" x14ac:dyDescent="0.2">
      <c r="A48" s="78"/>
      <c r="B48" s="78"/>
      <c r="C48" s="78"/>
      <c r="D48" s="78"/>
      <c r="E48" s="78"/>
      <c r="F48" s="78"/>
      <c r="G48" s="78"/>
      <c r="H48" s="76"/>
    </row>
    <row r="49" spans="1:8" ht="15" customHeight="1" x14ac:dyDescent="0.2">
      <c r="A49" s="78"/>
      <c r="B49" s="78"/>
      <c r="C49" s="78"/>
      <c r="D49" s="78"/>
      <c r="E49" s="78"/>
      <c r="F49" s="78"/>
      <c r="G49" s="78"/>
      <c r="H49" s="76"/>
    </row>
    <row r="50" spans="1:8" ht="15" customHeight="1" x14ac:dyDescent="0.2">
      <c r="A50" s="78"/>
      <c r="B50" s="78"/>
      <c r="C50" s="78"/>
      <c r="D50" s="78"/>
      <c r="E50" s="78"/>
      <c r="F50" s="78"/>
      <c r="G50" s="78"/>
      <c r="H50" s="76"/>
    </row>
    <row r="51" spans="1:8" ht="15" customHeight="1" x14ac:dyDescent="0.2">
      <c r="A51" s="78"/>
      <c r="B51" s="78"/>
      <c r="C51" s="78"/>
      <c r="D51" s="78"/>
      <c r="E51" s="78"/>
      <c r="F51" s="78"/>
      <c r="G51" s="78"/>
      <c r="H51" s="76"/>
    </row>
    <row r="52" spans="1:8" ht="15.75" customHeight="1" thickBot="1" x14ac:dyDescent="0.25">
      <c r="A52" s="85"/>
      <c r="B52" s="85"/>
      <c r="C52" s="85"/>
      <c r="D52" s="85"/>
      <c r="E52" s="85"/>
      <c r="F52" s="85"/>
      <c r="G52" s="85"/>
      <c r="H52" s="76"/>
    </row>
    <row r="53" spans="1:8" ht="15.75" customHeight="1" x14ac:dyDescent="0.25">
      <c r="A53" s="94"/>
      <c r="B53" s="94"/>
      <c r="C53" s="94"/>
      <c r="D53" s="94"/>
      <c r="E53" s="94"/>
      <c r="F53" s="94"/>
      <c r="G53" s="94"/>
      <c r="H53" s="76"/>
    </row>
    <row r="54" spans="1:8" ht="15" customHeight="1" x14ac:dyDescent="0.2">
      <c r="A54" s="76"/>
      <c r="B54" s="76"/>
      <c r="C54" s="76"/>
      <c r="D54" s="76"/>
      <c r="E54" s="76"/>
      <c r="F54" s="76"/>
      <c r="G54" s="76"/>
      <c r="H54" s="76"/>
    </row>
    <row r="55" spans="1:8" ht="15" customHeight="1" x14ac:dyDescent="0.2">
      <c r="A55" s="76"/>
      <c r="B55" s="76"/>
      <c r="C55" s="76"/>
      <c r="D55" s="76"/>
      <c r="E55" s="76"/>
      <c r="F55" s="76"/>
      <c r="G55" s="76"/>
      <c r="H55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Owner_Master</vt:lpstr>
      <vt:lpstr>Transaction_Log</vt:lpstr>
      <vt:lpstr>DashBoard</vt:lpstr>
      <vt:lpstr>Owner_Summary</vt:lpstr>
      <vt:lpstr>Analysis</vt:lpstr>
      <vt:lpstr>DashBoard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Sowriatwork</dc:creator>
  <cp:lastModifiedBy>Sowri Rajan</cp:lastModifiedBy>
  <cp:revision>2</cp:revision>
  <dcterms:created xsi:type="dcterms:W3CDTF">2026-03-18T08:27:56Z</dcterms:created>
  <dcterms:modified xsi:type="dcterms:W3CDTF">2026-05-20T15:43:06Z</dcterms:modified>
  <dc:language>en-IN</dc:language>
</cp:coreProperties>
</file>